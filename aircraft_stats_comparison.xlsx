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Derived" sheetId="2" state="visible" r:id="rId2"/>
    <sheet name="Propulsion" sheetId="3" state="visible" r:id="rId3"/>
    <sheet name="Behavio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"/>
    <numFmt numFmtId="167" formatCode="0.000"/>
    <numFmt numFmtId="168" formatCode="0.00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</font>
    <font>
      <name val="Arial"/>
      <b val="1"/>
      <color rgb="00FFFFFF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3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166" fontId="5" fillId="0" borderId="0" pivotButton="0" quotePrefix="0" xfId="0"/>
    <xf numFmtId="49" fontId="5" fillId="0" borderId="0" pivotButton="0" quotePrefix="0" xfId="0"/>
    <xf numFmtId="2" fontId="5" fillId="0" borderId="0" pivotButton="0" quotePrefix="0" xfId="0"/>
    <xf numFmtId="1" fontId="6" fillId="0" borderId="0" pivotButton="0" quotePrefix="0" xfId="0"/>
    <xf numFmtId="167" fontId="5" fillId="0" borderId="0" pivotButton="0" quotePrefix="0" xfId="0"/>
    <xf numFmtId="0" fontId="5" fillId="3" borderId="0" pivotButton="0" quotePrefix="0" xfId="0"/>
    <xf numFmtId="166" fontId="6" fillId="0" borderId="0" pivotButton="0" quotePrefix="0" xfId="0"/>
    <xf numFmtId="168" fontId="6" fillId="0" borderId="0" pivotButton="0" quotePrefix="0" xfId="0"/>
    <xf numFmtId="168" fontId="5" fillId="0" borderId="0" pivotButton="0" quotePrefix="0" xfId="0"/>
    <xf numFmtId="3" fontId="6" fillId="0" borderId="0" pivotButton="0" quotePrefix="0" xfId="0"/>
    <xf numFmtId="0" fontId="4" fillId="0" borderId="0" pivotButton="0" quotePrefix="0" xfId="0"/>
    <xf numFmtId="1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28" customWidth="1" min="4" max="4"/>
    <col width="95" customWidth="1" min="5" max="5"/>
  </cols>
  <sheetData>
    <row r="1">
      <c r="A1" s="1" t="inlineStr">
        <is>
          <t>Aircraft configuration inputs: eVTOL vs seaplane</t>
        </is>
      </c>
    </row>
    <row r="2">
      <c r="A2" s="2" t="inlineStr">
        <is>
          <t>Blue = value copied from the JSON config (or from the scenario file where the section says so). 'n/a' = the field does not exist for that propulsion architecture. Sources: examples/wildfire/data/aircraft/example_aircraft_1.json, example_seaplane_1.json and examples/wildfire/data/scenarios/inputs/Palisades5sp5ev_multiweight.json (read 2026-09-20).</t>
        </is>
      </c>
    </row>
    <row r="4">
      <c r="A4" s="3" t="inlineStr">
        <is>
          <t>Field</t>
        </is>
      </c>
      <c r="B4" s="3" t="inlineStr">
        <is>
          <t>Unit</t>
        </is>
      </c>
      <c r="C4" s="3" t="inlineStr">
        <is>
          <t>eVTOL (example_aircraft_1)</t>
        </is>
      </c>
      <c r="D4" s="3" t="inlineStr">
        <is>
          <t>Seaplane (example_seaplane_1)</t>
        </is>
      </c>
      <c r="E4" s="3" t="inlineStr">
        <is>
          <t>What the simulation does with it</t>
        </is>
      </c>
    </row>
    <row r="5">
      <c r="A5" s="4" t="inlineStr">
        <is>
          <t>Identity and type</t>
        </is>
      </c>
      <c r="B5" s="4" t="n"/>
      <c r="C5" s="4" t="n"/>
      <c r="D5" s="4" t="n"/>
      <c r="E5" s="4" t="n"/>
    </row>
    <row r="6">
      <c r="A6" s="5" t="inlineStr">
        <is>
          <t>icon</t>
        </is>
      </c>
      <c r="B6" s="5" t="inlineStr">
        <is>
          <t>-</t>
        </is>
      </c>
      <c r="C6" s="5" t="inlineStr">
        <is>
          <t>evtol.svg</t>
        </is>
      </c>
      <c r="D6" s="5" t="inlineStr">
        <is>
          <t>seaplane.svg</t>
        </is>
      </c>
      <c r="E6" s="6" t="inlineStr">
        <is>
          <t>GUI sprite only; no effect on behaviour.</t>
        </is>
      </c>
    </row>
    <row r="7">
      <c r="A7" s="5" t="inlineStr">
        <is>
          <t>takeoff_landing_type</t>
        </is>
      </c>
      <c r="B7" s="5" t="inlineStr">
        <is>
          <t>-</t>
        </is>
      </c>
      <c r="C7" s="5" t="inlineStr">
        <is>
          <t>vertipad</t>
        </is>
      </c>
      <c r="D7" s="5" t="inlineStr">
        <is>
          <t>water</t>
        </is>
      </c>
      <c r="E7" s="6" t="inlineStr">
        <is>
          <t>Base compatibility: an airport accepts an aircraft only if this type is in the airport's takeoff_landing_types. The scenario airports declare none, so they default to all three (runway, vertipad, water) and both aircraft can use either base. 'vertipad' + electric + retransition_duration &gt; 0 also switches on the eVTOL-only energy guards (Behaviour sheet).</t>
        </is>
      </c>
    </row>
    <row r="8">
      <c r="A8" s="5" t="inlineStr">
        <is>
          <t>architecture</t>
        </is>
      </c>
      <c r="B8" s="5" t="inlineStr">
        <is>
          <t>-</t>
        </is>
      </c>
      <c r="C8" s="5" t="inlineStr">
        <is>
          <t>electric</t>
        </is>
      </c>
      <c r="D8" s="5" t="inlineStr">
        <is>
          <t>conventional</t>
        </is>
      </c>
      <c r="E8" s="6" t="inlineStr">
        <is>
          <t>Selects the propulsion model: BatteryElectricPropulsion (energy in kJ, aircraft mass constant) vs ConventionalPropulsion (fuel in kg, mass drops as fuel burns).</t>
        </is>
      </c>
    </row>
    <row r="9">
      <c r="A9" s="5" t="inlineStr">
        <is>
          <t>autonomous</t>
        </is>
      </c>
      <c r="B9" s="5" t="inlineStr">
        <is>
          <t>-</t>
        </is>
      </c>
      <c r="C9" s="5" t="b">
        <v>0</v>
      </c>
      <c r="D9" s="5" t="b">
        <v>0</v>
      </c>
      <c r="E9" s="6" t="inlineStr">
        <is>
          <t>Stored on the agent; not read by any tactic or model code.</t>
        </is>
      </c>
    </row>
    <row r="10">
      <c r="A10" s="4" t="inlineStr">
        <is>
          <t>Mass and payload</t>
        </is>
      </c>
      <c r="B10" s="4" t="n"/>
      <c r="C10" s="4" t="n"/>
      <c r="D10" s="4" t="n"/>
      <c r="E10" s="4" t="n"/>
    </row>
    <row r="11">
      <c r="A11" s="5" t="inlineStr">
        <is>
          <t>mtom</t>
        </is>
      </c>
      <c r="B11" s="5" t="inlineStr">
        <is>
          <t>kg</t>
        </is>
      </c>
      <c r="C11" s="7" t="n">
        <v>1988.448</v>
      </c>
      <c r="D11" s="7" t="n">
        <v>6495.57</v>
      </c>
      <c r="E11" s="6" t="inlineStr">
        <is>
          <t>Validated at load: empty_mass + payload + fuel mass must not exceed it. Also caps the start mass used in propellant estimates.</t>
        </is>
      </c>
    </row>
    <row r="12">
      <c r="A12" s="5" t="inlineStr">
        <is>
          <t>empty_mass</t>
        </is>
      </c>
      <c r="B12" s="5" t="inlineStr">
        <is>
          <t>kg</t>
        </is>
      </c>
      <c r="C12" s="7" t="n">
        <v>1628.448</v>
      </c>
      <c r="D12" s="7" t="n">
        <v>3788</v>
      </c>
      <c r="E12" s="6" t="inlineStr">
        <is>
          <t>Current mass = empty_mass + water on board + fuel mass. For the eVTOL the battery is inside empty_mass (propellant mass = 0).</t>
        </is>
      </c>
    </row>
    <row r="13">
      <c r="A13" s="5" t="inlineStr">
        <is>
          <t>payload</t>
        </is>
      </c>
      <c r="B13" s="5" t="inlineStr">
        <is>
          <t>kg</t>
        </is>
      </c>
      <c r="C13" s="7" t="n">
        <v>360</v>
      </c>
      <c r="D13" s="7" t="n">
        <v>1300</v>
      </c>
      <c r="E13" s="6" t="inlineStr">
        <is>
          <t>Water carried per sortie. The whole payload is released in one drop; sets the drop patch area (Derived sheet).</t>
        </is>
      </c>
    </row>
    <row r="14">
      <c r="A14" s="5" t="inlineStr">
        <is>
          <t>flow_rate</t>
        </is>
      </c>
      <c r="B14" s="5" t="inlineStr">
        <is>
          <t>m3/s</t>
        </is>
      </c>
      <c r="C14" s="7" t="n">
        <v>1.2</v>
      </c>
      <c r="D14" s="7" t="n">
        <v>1.2</v>
      </c>
      <c r="E14" s="6" t="inlineStr">
        <is>
          <t>Suppressant flow rate; sets the drop patch width (Legendre et al. 2014 fit).</t>
        </is>
      </c>
    </row>
    <row r="15">
      <c r="A15" s="4" t="inlineStr">
        <is>
          <t>Scooping</t>
        </is>
      </c>
      <c r="B15" s="4" t="n"/>
      <c r="C15" s="4" t="n"/>
      <c r="D15" s="4" t="n"/>
      <c r="E15" s="4" t="n"/>
    </row>
    <row r="16">
      <c r="A16" s="5" t="inlineStr">
        <is>
          <t>can_scoop</t>
        </is>
      </c>
      <c r="B16" s="5" t="inlineStr">
        <is>
          <t>-</t>
        </is>
      </c>
      <c r="C16" s="5" t="b">
        <v>1</v>
      </c>
      <c r="D16" s="5" t="b">
        <v>1</v>
      </c>
      <c r="E16" s="6" t="inlineStr">
        <is>
          <t>If True and a feasible water body exists, the aircraft refills at water instead of at base whenever the estimated round-trip propellant is lower.</t>
        </is>
      </c>
    </row>
    <row r="17">
      <c r="A17" s="5" t="inlineStr">
        <is>
          <t>scooping_distance</t>
        </is>
      </c>
      <c r="B17" s="5" t="inlineStr">
        <is>
          <t>m</t>
        </is>
      </c>
      <c r="C17" s="7" t="n">
        <v>6</v>
      </c>
      <c r="D17" s="7" t="n">
        <v>200</v>
      </c>
      <c r="E17" s="6" t="inlineStr">
        <is>
          <t>Length of the rectangle that must fit entirely inside a water polygon for that body to be a feasible scoop site (AgentInput comment: fixed wing ~1341 m typical; rotorcraft = largest length x 2).</t>
        </is>
      </c>
    </row>
    <row r="18">
      <c r="A18" s="5" t="inlineStr">
        <is>
          <t>span</t>
        </is>
      </c>
      <c r="B18" s="5" t="inlineStr">
        <is>
          <t>m</t>
        </is>
      </c>
      <c r="C18" s="7" t="n">
        <v>6</v>
      </c>
      <c r="D18" s="7" t="n">
        <v>18</v>
      </c>
      <c r="E18" s="6" t="inlineStr">
        <is>
          <t>Width of that rectangle (fixed wing: span x 2; rotorcraft: rotor diameter).</t>
        </is>
      </c>
    </row>
    <row r="19">
      <c r="A19" s="4" t="inlineStr">
        <is>
          <t>Propulsion (propulsion_input)</t>
        </is>
      </c>
      <c r="B19" s="4" t="n"/>
      <c r="C19" s="4" t="n"/>
      <c r="D19" s="4" t="n"/>
      <c r="E19" s="4" t="n"/>
    </row>
    <row r="20">
      <c r="A20" s="5" t="inlineStr">
        <is>
          <t>propellant_unit</t>
        </is>
      </c>
      <c r="B20" s="5" t="inlineStr">
        <is>
          <t>-</t>
        </is>
      </c>
      <c r="C20" s="5" t="inlineStr">
        <is>
          <t>kJ</t>
        </is>
      </c>
      <c r="D20" s="5" t="inlineStr">
        <is>
          <t>kg</t>
        </is>
      </c>
      <c r="E20" s="6" t="inlineStr">
        <is>
          <t>Unit of the propellant figures below.</t>
        </is>
      </c>
    </row>
    <row r="21">
      <c r="A21" s="5" t="inlineStr">
        <is>
          <t>total_propellant</t>
        </is>
      </c>
      <c r="B21" s="5" t="inlineStr">
        <is>
          <t>kJ / kg</t>
        </is>
      </c>
      <c r="C21" s="7" t="n">
        <v>492445.3</v>
      </c>
      <c r="D21" s="7" t="n">
        <v>1407.57</v>
      </c>
      <c r="E21" s="6" t="inlineStr">
        <is>
          <t>Battery energy (eVTOL) or fuel mass (seaplane) when full.</t>
        </is>
      </c>
    </row>
    <row r="22">
      <c r="A22" s="5" t="inlineStr">
        <is>
          <t>reserve_propellant</t>
        </is>
      </c>
      <c r="B22" s="5" t="inlineStr">
        <is>
          <t>kJ / kg</t>
        </is>
      </c>
      <c r="C22" s="7" t="n">
        <v>33253.6</v>
      </c>
      <c r="D22" s="7" t="n">
        <v>420.57</v>
      </c>
      <c r="E22" s="6" t="inlineStr">
        <is>
          <t>Never planned into a mission. Usable = total - reserve. The sim raises 'ran out of propellant' only when usable + reserve &lt; 0.</t>
        </is>
      </c>
    </row>
    <row r="23">
      <c r="A23" s="5" t="inlineStr">
        <is>
          <t>battery_swap_enabled</t>
        </is>
      </c>
      <c r="B23" s="5" t="inlineStr">
        <is>
          <t>-</t>
        </is>
      </c>
      <c r="C23" s="5" t="b">
        <v>1</v>
      </c>
      <c r="D23" s="5" t="inlineStr">
        <is>
          <t>n/a</t>
        </is>
      </c>
      <c r="E23" s="6" t="inlineStr">
        <is>
          <t>eVTOL: at base the battery is swapped (energy jumps to full once battery_swap_time has elapsed) instead of being charged.</t>
        </is>
      </c>
    </row>
    <row r="24">
      <c r="A24" s="5" t="inlineStr">
        <is>
          <t>battery_swap_time</t>
        </is>
      </c>
      <c r="B24" s="5" t="inlineStr">
        <is>
          <t>s</t>
        </is>
      </c>
      <c r="C24" s="7" t="n">
        <v>600</v>
      </c>
      <c r="D24" s="5" t="inlineStr">
        <is>
          <t>n/a</t>
        </is>
      </c>
      <c r="E24" s="6" t="inlineStr">
        <is>
          <t>Time on the ground at base before the eVTOL is full again.</t>
        </is>
      </c>
    </row>
    <row r="25">
      <c r="A25" s="5" t="inlineStr">
        <is>
          <t>charging_power</t>
        </is>
      </c>
      <c r="B25" s="5" t="inlineStr">
        <is>
          <t>kW</t>
        </is>
      </c>
      <c r="C25" s="7" t="n">
        <v>359.019</v>
      </c>
      <c r="D25" s="5" t="inlineStr">
        <is>
          <t>n/a</t>
        </is>
      </c>
      <c r="E25" s="6" t="inlineStr">
        <is>
          <t>Only used if battery swap is disabled; unused with the current config.</t>
        </is>
      </c>
    </row>
    <row r="26">
      <c r="A26" s="5" t="inlineStr">
        <is>
          <t>refueling_rate</t>
        </is>
      </c>
      <c r="B26" s="5" t="inlineStr">
        <is>
          <t>kg/s</t>
        </is>
      </c>
      <c r="C26" s="5" t="inlineStr">
        <is>
          <t>n/a</t>
        </is>
      </c>
      <c r="D26" s="7" t="n">
        <v>15.14</v>
      </c>
      <c r="E26" s="6" t="inlineStr">
        <is>
          <t>Seaplane fuel refill rate at base.</t>
        </is>
      </c>
    </row>
    <row r="27">
      <c r="A27" s="5" t="inlineStr">
        <is>
          <t>fuel_specific_energy</t>
        </is>
      </c>
      <c r="B27" s="5" t="inlineStr">
        <is>
          <t>kJ/kg</t>
        </is>
      </c>
      <c r="C27" s="5" t="inlineStr">
        <is>
          <t>n/a</t>
        </is>
      </c>
      <c r="D27" s="7" t="n">
        <v>44000</v>
      </c>
      <c r="E27" s="6" t="inlineStr">
        <is>
          <t>Default (not in the JSON); only converts fuel to energy for output logging.</t>
        </is>
      </c>
    </row>
    <row r="28">
      <c r="A28" s="5" t="inlineStr">
        <is>
          <t>safety_factor</t>
        </is>
      </c>
      <c r="B28" s="5" t="inlineStr">
        <is>
          <t>-</t>
        </is>
      </c>
      <c r="C28" s="7" t="n">
        <v>1</v>
      </c>
      <c r="D28" s="7" t="n">
        <v>1</v>
      </c>
      <c r="E28" s="6" t="inlineStr">
        <is>
          <t>Default (not in the JSON); multiplies propellant-required estimates.</t>
        </is>
      </c>
    </row>
    <row r="29">
      <c r="A29" s="4" t="inlineStr">
        <is>
          <t>Flight profile (profile_parameters)</t>
        </is>
      </c>
      <c r="B29" s="4" t="n"/>
      <c r="C29" s="4" t="n"/>
      <c r="D29" s="4" t="n"/>
      <c r="E29" s="4" t="n"/>
    </row>
    <row r="30">
      <c r="A30" s="5" t="inlineStr">
        <is>
          <t>taxi_out_duration</t>
        </is>
      </c>
      <c r="B30" s="5" t="inlineStr">
        <is>
          <t>s</t>
        </is>
      </c>
      <c r="C30" s="7" t="n">
        <v>60</v>
      </c>
      <c r="D30" s="7" t="n">
        <v>120</v>
      </c>
      <c r="E30" s="6" t="inlineStr">
        <is>
          <t>Not flown by the wildfire tactic (there is no taxi task and trajectories are generated without taxi).</t>
        </is>
      </c>
    </row>
    <row r="31">
      <c r="A31" s="5" t="inlineStr">
        <is>
          <t>taxi_in_duration</t>
        </is>
      </c>
      <c r="B31" s="5" t="inlineStr">
        <is>
          <t>s</t>
        </is>
      </c>
      <c r="C31" s="7" t="n">
        <v>60</v>
      </c>
      <c r="D31" s="7" t="n">
        <v>120</v>
      </c>
      <c r="E31" s="6" t="inlineStr">
        <is>
          <t>Not flown by the wildfire tactic.</t>
        </is>
      </c>
    </row>
    <row r="32">
      <c r="A32" s="5" t="inlineStr">
        <is>
          <t>transition_duration</t>
        </is>
      </c>
      <c r="B32" s="5" t="inlineStr">
        <is>
          <t>s</t>
        </is>
      </c>
      <c r="C32" s="7" t="n">
        <v>45.887</v>
      </c>
      <c r="D32" s="7" t="n">
        <v>0</v>
      </c>
      <c r="E32" s="6" t="inlineStr">
        <is>
          <t>Hold after every takeoff, billed at transition power/fc, before cruise-climb. 0 s = skipped (seaplane).</t>
        </is>
      </c>
    </row>
    <row r="33">
      <c r="A33" s="5" t="inlineStr">
        <is>
          <t>retransition_duration</t>
        </is>
      </c>
      <c r="B33" s="5" t="inlineStr">
        <is>
          <t>s</t>
        </is>
      </c>
      <c r="C33" s="7" t="n">
        <v>45.887</v>
      </c>
      <c r="D33" s="7" t="n">
        <v>0</v>
      </c>
      <c r="E33" s="6" t="inlineStr">
        <is>
          <t>Hold before every landing at base and before the water descent. 0 s = skipped (seaplane).</t>
        </is>
      </c>
    </row>
    <row r="34">
      <c r="A34" s="5" t="inlineStr">
        <is>
          <t>takeoff_altitude</t>
        </is>
      </c>
      <c r="B34" s="5" t="inlineStr">
        <is>
          <t>m</t>
        </is>
      </c>
      <c r="C34" s="7" t="n">
        <v>15.24</v>
      </c>
      <c r="D34" s="7" t="n">
        <v>457.2</v>
      </c>
      <c r="E34" s="6" t="inlineStr">
        <is>
          <t>Height above field elevation that the takeoff phase climbs to.</t>
        </is>
      </c>
    </row>
    <row r="35">
      <c r="A35" s="5" t="inlineStr">
        <is>
          <t>takeoff_climb_rate</t>
        </is>
      </c>
      <c r="B35" s="5" t="inlineStr">
        <is>
          <t>m/s</t>
        </is>
      </c>
      <c r="C35" s="7" t="n">
        <v>0.508</v>
      </c>
      <c r="D35" s="7" t="n">
        <v>3.81</v>
      </c>
      <c r="E35" s="6" t="inlineStr">
        <is>
          <t>Vertical speed during the takeoff phase.</t>
        </is>
      </c>
    </row>
    <row r="36">
      <c r="A36" s="5" t="inlineStr">
        <is>
          <t>takeoff_ground_speed</t>
        </is>
      </c>
      <c r="B36" s="5" t="inlineStr">
        <is>
          <t>m/s</t>
        </is>
      </c>
      <c r="C36" s="7" t="n">
        <v>0</v>
      </c>
      <c r="D36" s="7" t="n">
        <v>23</v>
      </c>
      <c r="E36" s="6" t="inlineStr">
        <is>
          <t>0 = vertical takeoff (no horizontal motion during the takeoff task).</t>
        </is>
      </c>
    </row>
    <row r="37">
      <c r="A37" s="5" t="inlineStr">
        <is>
          <t>cruise_climb_rate</t>
        </is>
      </c>
      <c r="B37" s="5" t="inlineStr">
        <is>
          <t>m/s</t>
        </is>
      </c>
      <c r="C37" s="7" t="n">
        <v>3.556</v>
      </c>
      <c r="D37" s="7" t="n">
        <v>6.96</v>
      </c>
      <c r="E37" s="6" t="inlineStr">
        <is>
          <t>Vertical speed of the cruise-climb phase.</t>
        </is>
      </c>
    </row>
    <row r="38">
      <c r="A38" s="5" t="inlineStr">
        <is>
          <t>cruise_climb_ground_speed</t>
        </is>
      </c>
      <c r="B38" s="5" t="inlineStr">
        <is>
          <t>m/s</t>
        </is>
      </c>
      <c r="C38" s="7" t="n">
        <v>51.272</v>
      </c>
      <c r="D38" s="7" t="n">
        <v>100</v>
      </c>
      <c r="E38" s="6" t="inlineStr">
        <is>
          <t>Ground speed of the cruise-climb phase.</t>
        </is>
      </c>
    </row>
    <row r="39">
      <c r="A39" s="5" t="inlineStr">
        <is>
          <t>cruise_altitude</t>
        </is>
      </c>
      <c r="B39" s="5" t="inlineStr">
        <is>
          <t>m</t>
        </is>
      </c>
      <c r="C39" s="7" t="n">
        <v>457.2</v>
      </c>
      <c r="D39" s="7" t="n">
        <v>3000</v>
      </c>
      <c r="E39" s="6" t="inlineStr">
        <is>
          <t>Target cruise altitude (absolute). Raised automatically if terrain + takeoff/landing altitude is higher.</t>
        </is>
      </c>
    </row>
    <row r="40">
      <c r="A40" s="5" t="inlineStr">
        <is>
          <t>cruise_speed</t>
        </is>
      </c>
      <c r="B40" s="5" t="inlineStr">
        <is>
          <t>m/s</t>
        </is>
      </c>
      <c r="C40" s="7" t="n">
        <v>90</v>
      </c>
      <c r="D40" s="7" t="n">
        <v>100</v>
      </c>
      <c r="E40" s="6" t="inlineStr">
        <is>
          <t>Ground speed of the level cruise phase.</t>
        </is>
      </c>
    </row>
    <row r="41">
      <c r="A41" s="5" t="inlineStr">
        <is>
          <t>cruise_descent_rate</t>
        </is>
      </c>
      <c r="B41" s="5" t="inlineStr">
        <is>
          <t>m/s</t>
        </is>
      </c>
      <c r="C41" s="7" t="n">
        <v>3.556</v>
      </c>
      <c r="D41" s="7" t="n">
        <v>6.96</v>
      </c>
      <c r="E41" s="6" t="inlineStr">
        <is>
          <t>Vertical speed of the cruise-descent phase.</t>
        </is>
      </c>
    </row>
    <row r="42">
      <c r="A42" s="5" t="inlineStr">
        <is>
          <t>cruise_descent_ground_speed</t>
        </is>
      </c>
      <c r="B42" s="5" t="inlineStr">
        <is>
          <t>m/s</t>
        </is>
      </c>
      <c r="C42" s="7" t="n">
        <v>51.272</v>
      </c>
      <c r="D42" s="7" t="n">
        <v>100</v>
      </c>
      <c r="E42" s="6" t="inlineStr">
        <is>
          <t>Ground speed of the cruise-descent phase.</t>
        </is>
      </c>
    </row>
    <row r="43">
      <c r="A43" s="5" t="inlineStr">
        <is>
          <t>landing_altitude</t>
        </is>
      </c>
      <c r="B43" s="5" t="inlineStr">
        <is>
          <t>m</t>
        </is>
      </c>
      <c r="C43" s="7" t="n">
        <v>15.24</v>
      </c>
      <c r="D43" s="7" t="n">
        <v>457.2</v>
      </c>
      <c r="E43" s="6" t="inlineStr">
        <is>
          <t>Height above field elevation at which the landing phase starts; also the takeoff target after a water scoop.</t>
        </is>
      </c>
    </row>
    <row r="44">
      <c r="A44" s="5" t="inlineStr">
        <is>
          <t>landing_descent_rate</t>
        </is>
      </c>
      <c r="B44" s="5" t="inlineStr">
        <is>
          <t>m/s</t>
        </is>
      </c>
      <c r="C44" s="7" t="n">
        <v>0.508</v>
      </c>
      <c r="D44" s="7" t="n">
        <v>3.81</v>
      </c>
      <c r="E44" s="6" t="inlineStr">
        <is>
          <t>Vertical speed during the landing phase.</t>
        </is>
      </c>
    </row>
    <row r="45">
      <c r="A45" s="5" t="inlineStr">
        <is>
          <t>landing_ground_speed</t>
        </is>
      </c>
      <c r="B45" s="5" t="inlineStr">
        <is>
          <t>m/s</t>
        </is>
      </c>
      <c r="C45" s="7" t="n">
        <v>0</v>
      </c>
      <c r="D45" s="7" t="n">
        <v>23</v>
      </c>
      <c r="E45" s="6" t="inlineStr">
        <is>
          <t>0 = vertical landing.</t>
        </is>
      </c>
    </row>
    <row r="46">
      <c r="A46" s="5" t="inlineStr">
        <is>
          <t>loiter_speed</t>
        </is>
      </c>
      <c r="B46" s="5" t="inlineStr">
        <is>
          <t>m/s</t>
        </is>
      </c>
      <c r="C46" s="7" t="n">
        <v>51.272</v>
      </c>
      <c r="D46" s="7" t="n">
        <v>100</v>
      </c>
      <c r="E46" s="6" t="inlineStr">
        <is>
          <t>LOITER segments have zero length, so this speed has no effect; the scoop hold is stationary and billed at loiter power/fc.</t>
        </is>
      </c>
    </row>
    <row r="47">
      <c r="A47" s="4" t="inlineStr">
        <is>
          <t>Scenario parameters shared by both fleets (Palisades5sp5ev_multiweight.json)</t>
        </is>
      </c>
      <c r="B47" s="4" t="n"/>
      <c r="C47" s="4" t="n"/>
      <c r="D47" s="4" t="n"/>
      <c r="E47" s="4" t="n"/>
    </row>
    <row r="48">
      <c r="A48" s="5" t="inlineStr">
        <is>
          <t>agents_per_base</t>
        </is>
      </c>
      <c r="B48" s="5" t="inlineStr">
        <is>
          <t>-</t>
        </is>
      </c>
      <c r="C48" s="5" t="inlineStr">
        <is>
          <t>[0, 5]</t>
        </is>
      </c>
      <c r="D48" s="5" t="inlineStr">
        <is>
          <t>[5, 0]</t>
        </is>
      </c>
      <c r="E48" s="6" t="inlineStr">
        <is>
          <t>Seaplanes: 5 at base 0. eVTOLs: 5 at base 1. Both types use select_poi=water, track_poi=follow_firefront, suppress=direct.</t>
        </is>
      </c>
    </row>
    <row r="49">
      <c r="A49" s="5" t="inlineStr">
        <is>
          <t>aircraft per base (this type)</t>
        </is>
      </c>
      <c r="B49" s="5" t="inlineStr">
        <is>
          <t>count</t>
        </is>
      </c>
      <c r="C49" s="7" t="n">
        <v>5</v>
      </c>
      <c r="D49" s="7" t="n">
        <v>5</v>
      </c>
      <c r="E49" s="6" t="inlineStr">
        <is>
          <t>Used below for the departure-spacing figure.</t>
        </is>
      </c>
    </row>
    <row r="50">
      <c r="A50" s="5" t="inlineStr">
        <is>
          <t>response_time</t>
        </is>
      </c>
      <c r="B50" s="5" t="inlineStr">
        <is>
          <t>s</t>
        </is>
      </c>
      <c r="C50" s="7" t="n">
        <v>3600</v>
      </c>
      <c r="D50" s="7" t="n">
        <v>3600</v>
      </c>
      <c r="E50" s="6" t="inlineStr">
        <is>
          <t>All aircraft hold at base for this long after ignition.</t>
        </is>
      </c>
    </row>
    <row r="51">
      <c r="A51" s="5" t="inlineStr">
        <is>
          <t>takeoff_interval</t>
        </is>
      </c>
      <c r="B51" s="5" t="inlineStr">
        <is>
          <t>s</t>
        </is>
      </c>
      <c r="C51" s="7" t="n">
        <v>300</v>
      </c>
      <c r="D51" s="7" t="n">
        <v>300</v>
      </c>
      <c r="E51" s="6" t="inlineStr">
        <is>
          <t>Minimum spacing between departures from the same base (one queue per base).</t>
        </is>
      </c>
    </row>
    <row r="52">
      <c r="A52" s="5" t="inlineStr">
        <is>
          <t>turnaround_time</t>
        </is>
      </c>
      <c r="B52" s="5" t="inlineStr">
        <is>
          <t>s</t>
        </is>
      </c>
      <c r="C52" s="7" t="n">
        <v>100</v>
      </c>
      <c r="D52" s="7" t="n">
        <v>100</v>
      </c>
      <c r="E52" s="6" t="inlineStr">
        <is>
          <t>Defined in the parameters but not read by the firefighter model.</t>
        </is>
      </c>
    </row>
    <row r="53">
      <c r="A53" s="5" t="inlineStr">
        <is>
          <t>scoop_time</t>
        </is>
      </c>
      <c r="B53" s="5" t="inlineStr">
        <is>
          <t>s</t>
        </is>
      </c>
      <c r="C53" s="7" t="n">
        <v>30</v>
      </c>
      <c r="D53" s="7" t="n">
        <v>30</v>
      </c>
      <c r="E53" s="6" t="inlineStr">
        <is>
          <t>Stationary LOITER hold at a water source (or at base when the base is picked as the cheaper water stop).</t>
        </is>
      </c>
    </row>
    <row r="54">
      <c r="A54" s="5" t="inlineStr">
        <is>
          <t>resupply_altitude</t>
        </is>
      </c>
      <c r="B54" s="5" t="inlineStr">
        <is>
          <t>m AGL</t>
        </is>
      </c>
      <c r="C54" s="7" t="n">
        <v>15</v>
      </c>
      <c r="D54" s="7" t="n">
        <v>15</v>
      </c>
      <c r="E54" s="6" t="inlineStr">
        <is>
          <t>Descent target over a water source.</t>
        </is>
      </c>
    </row>
    <row r="55">
      <c r="A55" s="5" t="inlineStr">
        <is>
          <t>suppression_altitude</t>
        </is>
      </c>
      <c r="B55" s="5" t="inlineStr">
        <is>
          <t>m AGL</t>
        </is>
      </c>
      <c r="C55" s="7" t="n">
        <v>50</v>
      </c>
      <c r="D55" s="7" t="n">
        <v>50</v>
      </c>
      <c r="E55" s="6" t="inlineStr">
        <is>
          <t>Descent target over the firefront for the drop.</t>
        </is>
      </c>
    </row>
    <row r="56">
      <c r="A56" s="5" t="inlineStr">
        <is>
          <t>cell_size</t>
        </is>
      </c>
      <c r="B56" s="5" t="inlineStr">
        <is>
          <t>m</t>
        </is>
      </c>
      <c r="C56" s="7" t="n">
        <v>5</v>
      </c>
      <c r="D56" s="7" t="n">
        <v>5</v>
      </c>
      <c r="E56" s="6" t="inlineStr">
        <is>
          <t>Fire-grid cell size in the scenario JSON. The slurm runs pass --cell-size code, which can override it; patch cell counts on the Derived sheet use this value.</t>
        </is>
      </c>
    </row>
    <row r="57">
      <c r="A57" s="5" t="inlineStr">
        <is>
          <t>enable_nighttime_operations</t>
        </is>
      </c>
      <c r="B57" s="5" t="inlineStr">
        <is>
          <t>-</t>
        </is>
      </c>
      <c r="C57" s="5" t="b">
        <v>1</v>
      </c>
      <c r="D57" s="5" t="b">
        <v>1</v>
      </c>
      <c r="E57" s="6" t="inlineStr">
        <is>
          <t>True: both fleets fly around the clock.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26" customWidth="1" min="3" max="3"/>
    <col width="28" customWidth="1" min="4" max="4"/>
    <col width="95" customWidth="1" min="5" max="5"/>
  </cols>
  <sheetData>
    <row r="1">
      <c r="A1" s="1" t="inlineStr">
        <is>
          <t>Derived performance figures (all formulas reference the Inputs sheet)</t>
        </is>
      </c>
    </row>
    <row r="2">
      <c r="A2" s="2" t="inlineStr">
        <is>
          <t>Black = formula. Formulas mirror the code: AircraftProfileParameters (sosid/model/abm/trajectory.py), generate_straight_trajectory, SuppressionUAV.suppression_patch (agents.py) and the propulsion refill logic (propulsion.py).</t>
        </is>
      </c>
    </row>
    <row r="4">
      <c r="A4" s="3" t="inlineStr">
        <is>
          <t>Quantity</t>
        </is>
      </c>
      <c r="B4" s="3" t="inlineStr">
        <is>
          <t>Unit</t>
        </is>
      </c>
      <c r="C4" s="3" t="inlineStr">
        <is>
          <t>eVTOL (example_aircraft_1)</t>
        </is>
      </c>
      <c r="D4" s="3" t="inlineStr">
        <is>
          <t>Seaplane (example_seaplane_1)</t>
        </is>
      </c>
      <c r="E4" s="3" t="inlineStr">
        <is>
          <t>Note</t>
        </is>
      </c>
    </row>
    <row r="5">
      <c r="A5" s="4" t="inlineStr">
        <is>
          <t>Propellant</t>
        </is>
      </c>
      <c r="B5" s="4" t="n"/>
      <c r="C5" s="4" t="n"/>
      <c r="D5" s="4" t="n"/>
      <c r="E5" s="4" t="n"/>
    </row>
    <row r="6">
      <c r="A6" s="5" t="inlineStr">
        <is>
          <t>Usable propellant (total - reserve)</t>
        </is>
      </c>
      <c r="B6" s="5" t="inlineStr">
        <is>
          <t>kJ / kg</t>
        </is>
      </c>
      <c r="C6" s="8">
        <f>Inputs!$C$21-Inputs!$C$22</f>
        <v/>
      </c>
      <c r="D6" s="8">
        <f>Inputs!$D$21-Inputs!$D$22</f>
        <v/>
      </c>
      <c r="E6" s="6" t="inlineStr">
        <is>
          <t>What the mission planner may spend.</t>
        </is>
      </c>
    </row>
    <row r="7">
      <c r="A7" s="5" t="inlineStr">
        <is>
          <t>Usable energy</t>
        </is>
      </c>
      <c r="B7" s="5" t="inlineStr">
        <is>
          <t>kWh</t>
        </is>
      </c>
      <c r="C7" s="9">
        <f>C6/3600</f>
        <v/>
      </c>
      <c r="D7" s="9">
        <f>D6*Inputs!$D$27/3600</f>
        <v/>
      </c>
      <c r="E7" s="6" t="inlineStr">
        <is>
          <t>Seaplane figure is chemical energy in the fuel (44 MJ/kg), not shaft energy, so it is not directly comparable to battery kWh.</t>
        </is>
      </c>
    </row>
    <row r="8">
      <c r="A8" s="5" t="inlineStr">
        <is>
          <t>Reserve share of total</t>
        </is>
      </c>
      <c r="B8" s="5" t="inlineStr">
        <is>
          <t>%</t>
        </is>
      </c>
      <c r="C8" s="10">
        <f>Inputs!$C$22/Inputs!$C$21</f>
        <v/>
      </c>
      <c r="D8" s="10">
        <f>Inputs!$D$22/Inputs!$D$21</f>
        <v/>
      </c>
      <c r="E8" s="6" t="inlineStr">
        <is>
          <t>Fraction that is never planned into a sortie.</t>
        </is>
      </c>
    </row>
    <row r="9">
      <c r="A9" s="5" t="inlineStr">
        <is>
          <t>Full refill time at base</t>
        </is>
      </c>
      <c r="B9" s="5" t="inlineStr">
        <is>
          <t>s</t>
        </is>
      </c>
      <c r="C9" s="11">
        <f>IF(Inputs!$C$23,Inputs!$C$24,C6/Inputs!$C$25)</f>
        <v/>
      </c>
      <c r="D9" s="11">
        <f>D6/Inputs!$D$26</f>
        <v/>
      </c>
      <c r="E9" s="6" t="inlineStr">
        <is>
          <t>eVTOL: battery swap is a flat wait. Seaplane: usable fuel / refueling_rate, worst case from an empty usable tank. The refuel task ends when propellant equals total usable.</t>
        </is>
      </c>
    </row>
    <row r="10">
      <c r="A10" s="5" t="inlineStr">
        <is>
          <t>Full refill time at base</t>
        </is>
      </c>
      <c r="B10" s="5" t="inlineStr">
        <is>
          <t>min</t>
        </is>
      </c>
      <c r="C10" s="12">
        <f>C9/60</f>
        <v/>
      </c>
      <c r="D10" s="12">
        <f>D9/60</f>
        <v/>
      </c>
      <c r="E10" s="6" t="inlineStr"/>
    </row>
    <row r="11">
      <c r="A11" s="4" t="inlineStr">
        <is>
          <t>Takeoff (from base, and the hop after a water scoop)</t>
        </is>
      </c>
      <c r="B11" s="4" t="n"/>
      <c r="C11" s="4" t="n"/>
      <c r="D11" s="4" t="n"/>
      <c r="E11" s="4" t="n"/>
    </row>
    <row r="12">
      <c r="A12" s="5" t="inlineStr">
        <is>
          <t>Takeoff mode</t>
        </is>
      </c>
      <c r="B12" s="5" t="inlineStr">
        <is>
          <t>-</t>
        </is>
      </c>
      <c r="C12" s="13">
        <f>IF(Inputs!$C$36=0,"vertical","ground roll + climb")</f>
        <v/>
      </c>
      <c r="D12" s="13">
        <f>IF(Inputs!$D$36=0,"vertical","ground roll + climb")</f>
        <v/>
      </c>
      <c r="E12" s="6" t="inlineStr">
        <is>
          <t>takeoff task: altitude rises at takeoff_climb_rate each step; the aircraft only moves forward if takeoff_ground_speed &gt; 0.</t>
        </is>
      </c>
    </row>
    <row r="13">
      <c r="A13" s="5" t="inlineStr">
        <is>
          <t>Takeoff duration</t>
        </is>
      </c>
      <c r="B13" s="5" t="inlineStr">
        <is>
          <t>s</t>
        </is>
      </c>
      <c r="C13" s="12">
        <f>Inputs!$C$34/Inputs!$C$35</f>
        <v/>
      </c>
      <c r="D13" s="12">
        <f>Inputs!$D$34/Inputs!$D$35</f>
        <v/>
      </c>
      <c r="E13" s="6" t="inlineStr">
        <is>
          <t>takeoff_altitude / takeoff_climb_rate (AircraftProfileParameters.takeoff_duration).</t>
        </is>
      </c>
    </row>
    <row r="14">
      <c r="A14" s="5" t="inlineStr">
        <is>
          <t>Takeoff ground distance</t>
        </is>
      </c>
      <c r="B14" s="5" t="inlineStr">
        <is>
          <t>m</t>
        </is>
      </c>
      <c r="C14" s="9">
        <f>C13*Inputs!$C$36</f>
        <v/>
      </c>
      <c r="D14" s="9">
        <f>D13*Inputs!$D$36</f>
        <v/>
      </c>
      <c r="E14" s="6" t="inlineStr">
        <is>
          <t>Duration x takeoff_ground_speed.</t>
        </is>
      </c>
    </row>
    <row r="15">
      <c r="A15" s="5" t="inlineStr">
        <is>
          <t>Transition hold after takeoff</t>
        </is>
      </c>
      <c r="B15" s="5" t="inlineStr">
        <is>
          <t>s</t>
        </is>
      </c>
      <c r="C15" s="12">
        <f>Inputs!$C$32</f>
        <v/>
      </c>
      <c r="D15" s="12">
        <f>Inputs!$D$32</f>
        <v/>
      </c>
      <c r="E15" s="6" t="inlineStr">
        <is>
          <t>Stationary hold billed at transition power/fc. A 0 s hold completes on the same step.</t>
        </is>
      </c>
    </row>
    <row r="16">
      <c r="A16" s="5" t="inlineStr">
        <is>
          <t>Apron to start of cruise-climb</t>
        </is>
      </c>
      <c r="B16" s="5" t="inlineStr">
        <is>
          <t>s</t>
        </is>
      </c>
      <c r="C16" s="12">
        <f>C13+C15</f>
        <v/>
      </c>
      <c r="D16" s="12">
        <f>D13+D15</f>
        <v/>
      </c>
      <c r="E16" s="6" t="inlineStr">
        <is>
          <t>Takeoff + transition.</t>
        </is>
      </c>
    </row>
    <row r="17">
      <c r="A17" s="5" t="inlineStr">
        <is>
          <t>Last of the fleet departs after</t>
        </is>
      </c>
      <c r="B17" s="5" t="inlineStr">
        <is>
          <t>min</t>
        </is>
      </c>
      <c r="C17" s="12">
        <f>(Inputs!$C$49-1)*Inputs!$C$51/60</f>
        <v/>
      </c>
      <c r="D17" s="12">
        <f>(Inputs!$D$49-1)*Inputs!$D$51/60</f>
        <v/>
      </c>
      <c r="E17" s="6" t="inlineStr">
        <is>
          <t>One departure per takeoff_interval per base, after response_time.</t>
        </is>
      </c>
    </row>
    <row r="18">
      <c r="A18" s="4" t="inlineStr">
        <is>
          <t>Cruise climb, cruise and descent</t>
        </is>
      </c>
      <c r="B18" s="4" t="n"/>
      <c r="C18" s="4" t="n"/>
      <c r="D18" s="4" t="n"/>
      <c r="E18" s="4" t="n"/>
    </row>
    <row r="19">
      <c r="A19" s="5" t="inlineStr">
        <is>
          <t>Cruise-climb duration to cruise altitude</t>
        </is>
      </c>
      <c r="B19" s="5" t="inlineStr">
        <is>
          <t>s</t>
        </is>
      </c>
      <c r="C19" s="11">
        <f>(Inputs!$C$39-Inputs!$C$34)/Inputs!$C$37</f>
        <v/>
      </c>
      <c r="D19" s="11">
        <f>(Inputs!$D$39-Inputs!$D$34)/Inputs!$D$37</f>
        <v/>
      </c>
      <c r="E19" s="6" t="inlineStr">
        <is>
          <t>(cruise_altitude - takeoff_altitude) / cruise_climb_rate, assuming the base is at sea level.</t>
        </is>
      </c>
    </row>
    <row r="20">
      <c r="A20" s="5" t="inlineStr">
        <is>
          <t>Cruise-climb horizontal distance</t>
        </is>
      </c>
      <c r="B20" s="5" t="inlineStr">
        <is>
          <t>km</t>
        </is>
      </c>
      <c r="C20" s="14">
        <f>C19*Inputs!$C$38/1000</f>
        <v/>
      </c>
      <c r="D20" s="14">
        <f>D19*Inputs!$D$38/1000</f>
        <v/>
      </c>
      <c r="E20" s="6" t="inlineStr">
        <is>
          <t>Duration x cruise_climb_ground_speed.</t>
        </is>
      </c>
    </row>
    <row r="21">
      <c r="A21" s="5" t="inlineStr">
        <is>
          <t>Cruise-descent horizontal distance to a firefront</t>
        </is>
      </c>
      <c r="B21" s="5" t="inlineStr">
        <is>
          <t>km</t>
        </is>
      </c>
      <c r="C21" s="14">
        <f>(Inputs!$C$39-Inputs!$C$55)/Inputs!$C$41*Inputs!$C$42/1000</f>
        <v/>
      </c>
      <c r="D21" s="14">
        <f>(Inputs!$D$39-Inputs!$D$55)/Inputs!$D$41*Inputs!$D$42/1000</f>
        <v/>
      </c>
      <c r="E21" s="6" t="inlineStr">
        <is>
          <t>Descent from cruise altitude to suppression_altitude AGL (terrain assumed flat).</t>
        </is>
      </c>
    </row>
    <row r="22">
      <c r="A22" s="5" t="inlineStr">
        <is>
          <t>Shortest base-to-fire leg that reaches cruise altitude</t>
        </is>
      </c>
      <c r="B22" s="5" t="inlineStr">
        <is>
          <t>km</t>
        </is>
      </c>
      <c r="C22" s="12">
        <f>C20+C21</f>
        <v/>
      </c>
      <c r="D22" s="12">
        <f>D20+D21</f>
        <v/>
      </c>
      <c r="E22" s="6" t="inlineStr">
        <is>
          <t>Shorter legs fly a triangular climb/descent and never enter the CRUISE state (generate_straight_trajectory). On a Palisades-sized map the seaplane therefore spends almost every leg in CRUISE_CLIMB / CRUISE_DESCENT.</t>
        </is>
      </c>
    </row>
    <row r="23">
      <c r="A23" s="5" t="inlineStr">
        <is>
          <t>Cruise speed</t>
        </is>
      </c>
      <c r="B23" s="5" t="inlineStr">
        <is>
          <t>km/h</t>
        </is>
      </c>
      <c r="C23" s="11">
        <f>Inputs!$C$40*3.6</f>
        <v/>
      </c>
      <c r="D23" s="11">
        <f>Inputs!$D$40*3.6</f>
        <v/>
      </c>
      <c r="E23" s="6" t="inlineStr"/>
    </row>
    <row r="24">
      <c r="A24" s="5" t="inlineStr">
        <is>
          <t>Cruise-climb ground speed</t>
        </is>
      </c>
      <c r="B24" s="5" t="inlineStr">
        <is>
          <t>km/h</t>
        </is>
      </c>
      <c r="C24" s="11">
        <f>Inputs!$C$38*3.6</f>
        <v/>
      </c>
      <c r="D24" s="11">
        <f>Inputs!$D$38*3.6</f>
        <v/>
      </c>
      <c r="E24" s="6" t="inlineStr"/>
    </row>
    <row r="25">
      <c r="A25" s="5" t="inlineStr">
        <is>
          <t>Time to cover 10 km at cruise speed</t>
        </is>
      </c>
      <c r="B25" s="5" t="inlineStr">
        <is>
          <t>min</t>
        </is>
      </c>
      <c r="C25" s="12">
        <f>10000/Inputs!$C$40/60</f>
        <v/>
      </c>
      <c r="D25" s="12">
        <f>10000/Inputs!$D$40/60</f>
        <v/>
      </c>
      <c r="E25" s="6" t="inlineStr">
        <is>
          <t>Illustrative only.</t>
        </is>
      </c>
    </row>
    <row r="26">
      <c r="A26" s="4" t="inlineStr">
        <is>
          <t>Landing at base</t>
        </is>
      </c>
      <c r="B26" s="4" t="n"/>
      <c r="C26" s="4" t="n"/>
      <c r="D26" s="4" t="n"/>
      <c r="E26" s="4" t="n"/>
    </row>
    <row r="27">
      <c r="A27" s="5" t="inlineStr">
        <is>
          <t>Retransition hold before landing</t>
        </is>
      </c>
      <c r="B27" s="5" t="inlineStr">
        <is>
          <t>s</t>
        </is>
      </c>
      <c r="C27" s="12">
        <f>Inputs!$C$33</f>
        <v/>
      </c>
      <c r="D27" s="12">
        <f>Inputs!$D$33</f>
        <v/>
      </c>
      <c r="E27" s="6" t="inlineStr">
        <is>
          <t>Stationary hold billed at retransition power/fc.</t>
        </is>
      </c>
    </row>
    <row r="28">
      <c r="A28" s="5" t="inlineStr">
        <is>
          <t>Landing duration</t>
        </is>
      </c>
      <c r="B28" s="5" t="inlineStr">
        <is>
          <t>s</t>
        </is>
      </c>
      <c r="C28" s="12">
        <f>Inputs!$C$43/Inputs!$C$44</f>
        <v/>
      </c>
      <c r="D28" s="12">
        <f>Inputs!$D$43/Inputs!$D$44</f>
        <v/>
      </c>
      <c r="E28" s="6" t="inlineStr">
        <is>
          <t>landing_altitude / landing_descent_rate.</t>
        </is>
      </c>
    </row>
    <row r="29">
      <c r="A29" s="5" t="inlineStr">
        <is>
          <t>Landing ground distance</t>
        </is>
      </c>
      <c r="B29" s="5" t="inlineStr">
        <is>
          <t>m</t>
        </is>
      </c>
      <c r="C29" s="9">
        <f>C28*Inputs!$C$45</f>
        <v/>
      </c>
      <c r="D29" s="9">
        <f>D28*Inputs!$D$45</f>
        <v/>
      </c>
      <c r="E29" s="6" t="inlineStr">
        <is>
          <t>Duration x landing_ground_speed.</t>
        </is>
      </c>
    </row>
    <row r="30">
      <c r="A30" s="5" t="inlineStr">
        <is>
          <t>Retransition + landing</t>
        </is>
      </c>
      <c r="B30" s="5" t="inlineStr">
        <is>
          <t>s</t>
        </is>
      </c>
      <c r="C30" s="12">
        <f>C27+C28</f>
        <v/>
      </c>
      <c r="D30" s="12">
        <f>D27+D28</f>
        <v/>
      </c>
      <c r="E30" s="6" t="inlineStr"/>
    </row>
    <row r="31">
      <c r="A31" s="4" t="inlineStr">
        <is>
          <t>Water resupply</t>
        </is>
      </c>
      <c r="B31" s="4" t="n"/>
      <c r="C31" s="4" t="n"/>
      <c r="D31" s="4" t="n"/>
      <c r="E31" s="4" t="n"/>
    </row>
    <row r="32">
      <c r="A32" s="5" t="inlineStr">
        <is>
          <t>Descent target over water</t>
        </is>
      </c>
      <c r="B32" s="5" t="inlineStr">
        <is>
          <t>m AGL</t>
        </is>
      </c>
      <c r="C32" s="11">
        <f>Inputs!$C$54</f>
        <v/>
      </c>
      <c r="D32" s="11">
        <f>Inputs!$D$54</f>
        <v/>
      </c>
      <c r="E32" s="6" t="inlineStr">
        <is>
          <t>Trajectory to a WATER destination ends here; the landing task then completes immediately because the target is already reached.</t>
        </is>
      </c>
    </row>
    <row r="33">
      <c r="A33" s="5" t="inlineStr">
        <is>
          <t>Retransition hold before the water descent</t>
        </is>
      </c>
      <c r="B33" s="5" t="inlineStr">
        <is>
          <t>s</t>
        </is>
      </c>
      <c r="C33" s="12">
        <f>Inputs!$C$33</f>
        <v/>
      </c>
      <c r="D33" s="12">
        <f>Inputs!$D$33</f>
        <v/>
      </c>
      <c r="E33" s="6" t="inlineStr">
        <is>
          <t>Both hold for retransition_duration, but only the eVTOL switches to the RETRANSITION state (and pays retransition power) during it.</t>
        </is>
      </c>
    </row>
    <row r="34">
      <c r="A34" s="5" t="inlineStr">
        <is>
          <t>Scoop hold (LOITER)</t>
        </is>
      </c>
      <c r="B34" s="5" t="inlineStr">
        <is>
          <t>s</t>
        </is>
      </c>
      <c r="C34" s="11">
        <f>Inputs!$C$53</f>
        <v/>
      </c>
      <c r="D34" s="11">
        <f>Inputs!$D$53</f>
        <v/>
      </c>
      <c r="E34" s="6" t="inlineStr">
        <is>
          <t>Billed at loiter power/fc; payload becomes full at the end.</t>
        </is>
      </c>
    </row>
    <row r="35">
      <c r="A35" s="5" t="inlineStr">
        <is>
          <t>Climb after scoop to takeoff target</t>
        </is>
      </c>
      <c r="B35" s="5" t="inlineStr">
        <is>
          <t>m</t>
        </is>
      </c>
      <c r="C35" s="12">
        <f>MAX(0,Inputs!$C$43-Inputs!$C$54)</f>
        <v/>
      </c>
      <c r="D35" s="12">
        <f>MAX(0,Inputs!$D$43-Inputs!$D$54)</f>
        <v/>
      </c>
      <c r="E35" s="6" t="inlineStr">
        <is>
          <t>After the scoop the takeoff task targets field elevation + landing_altitude (initiate_takeoff with no trajectory).</t>
        </is>
      </c>
    </row>
    <row r="36">
      <c r="A36" s="5" t="inlineStr">
        <is>
          <t>Post-scoop climb duration</t>
        </is>
      </c>
      <c r="B36" s="5" t="inlineStr">
        <is>
          <t>s</t>
        </is>
      </c>
      <c r="C36" s="12">
        <f>C35/Inputs!$C$35</f>
        <v/>
      </c>
      <c r="D36" s="12">
        <f>D35/Inputs!$D$35</f>
        <v/>
      </c>
      <c r="E36" s="6" t="inlineStr">
        <is>
          <t>Billed at takeoff power/fc.</t>
        </is>
      </c>
    </row>
    <row r="37">
      <c r="A37" s="5" t="inlineStr">
        <is>
          <t>Ground distance during post-scoop climb</t>
        </is>
      </c>
      <c r="B37" s="5" t="inlineStr">
        <is>
          <t>m</t>
        </is>
      </c>
      <c r="C37" s="9">
        <f>C36*Inputs!$C$36</f>
        <v/>
      </c>
      <c r="D37" s="9">
        <f>D36*Inputs!$D$36</f>
        <v/>
      </c>
      <c r="E37" s="6" t="inlineStr"/>
    </row>
    <row r="38">
      <c r="A38" s="5" t="inlineStr">
        <is>
          <t>Scoop rectangle area</t>
        </is>
      </c>
      <c r="B38" s="5" t="inlineStr">
        <is>
          <t>m2</t>
        </is>
      </c>
      <c r="C38" s="9">
        <f>Inputs!$C$17*Inputs!$C$18</f>
        <v/>
      </c>
      <c r="D38" s="9">
        <f>Inputs!$D$17*Inputs!$D$18</f>
        <v/>
      </c>
      <c r="E38" s="6" t="inlineStr">
        <is>
          <t>scooping_distance x span must fit inside the water polygon (evaluate_water_source_feasibility).</t>
        </is>
      </c>
    </row>
    <row r="39">
      <c r="A39" s="5" t="inlineStr">
        <is>
          <t>Feasible OSM water bodies on Palisades</t>
        </is>
      </c>
      <c r="B39" s="5" t="inlineStr">
        <is>
          <t>count</t>
        </is>
      </c>
      <c r="C39" s="15" t="n">
        <v>41</v>
      </c>
      <c r="D39" s="15" t="n">
        <v>1</v>
      </c>
      <c r="E39" s="6" t="inlineStr">
        <is>
          <t>From the generate_water_sets run of 2026-06-03 (set 2 = eVTOL footprint, set 1 = seaplane footprint); Pyrenees: 116 vs 19. Re-run generate_water_sets.py to confirm.</t>
        </is>
      </c>
    </row>
    <row r="40">
      <c r="A40" s="4" t="inlineStr">
        <is>
          <t>Drop patch (SuppressionUAV.suppression_patch, Legendre et al. 2014)</t>
        </is>
      </c>
      <c r="B40" s="4" t="n"/>
      <c r="C40" s="4" t="n"/>
      <c r="D40" s="4" t="n"/>
      <c r="E40" s="4" t="n"/>
    </row>
    <row r="41">
      <c r="A41" s="5" t="inlineStr">
        <is>
          <t>Drop ground area</t>
        </is>
      </c>
      <c r="B41" s="5" t="inlineStr">
        <is>
          <t>m2</t>
        </is>
      </c>
      <c r="C41" s="9">
        <f>1.028*Inputs!$C$13</f>
        <v/>
      </c>
      <c r="D41" s="9">
        <f>1.028*Inputs!$D$13</f>
        <v/>
      </c>
      <c r="E41" s="6" t="inlineStr">
        <is>
          <t>1.028 m2 per kg of payload.</t>
        </is>
      </c>
    </row>
    <row r="42">
      <c r="A42" s="5" t="inlineStr">
        <is>
          <t>Patch width</t>
        </is>
      </c>
      <c r="B42" s="5" t="inlineStr">
        <is>
          <t>m</t>
        </is>
      </c>
      <c r="C42" s="12">
        <f>21.07*Inputs!$C$14^0.428</f>
        <v/>
      </c>
      <c r="D42" s="12">
        <f>21.07*Inputs!$D$14^0.428</f>
        <v/>
      </c>
      <c r="E42" s="6" t="inlineStr">
        <is>
          <t>21.07 * Q^0.428; same for both because flow_rate is equal.</t>
        </is>
      </c>
    </row>
    <row r="43">
      <c r="A43" s="5" t="inlineStr">
        <is>
          <t>Patch length</t>
        </is>
      </c>
      <c r="B43" s="5" t="inlineStr">
        <is>
          <t>m</t>
        </is>
      </c>
      <c r="C43" s="12">
        <f>4*C41/(PI()*C42)</f>
        <v/>
      </c>
      <c r="D43" s="12">
        <f>4*D41/(PI()*D42)</f>
        <v/>
      </c>
      <c r="E43" s="6" t="inlineStr">
        <is>
          <t>Ellipse major axis: 4 * area / (pi * width).</t>
        </is>
      </c>
    </row>
    <row r="44">
      <c r="A44" s="5" t="inlineStr">
        <is>
          <t>Patch length</t>
        </is>
      </c>
      <c r="B44" s="5" t="inlineStr">
        <is>
          <t>cells</t>
        </is>
      </c>
      <c r="C44" s="12">
        <f>C43/Inputs!$C$56</f>
        <v/>
      </c>
      <c r="D44" s="12">
        <f>D43/Inputs!$D$56</f>
        <v/>
      </c>
      <c r="E44" s="6" t="inlineStr">
        <is>
          <t>The sim rounds each dimension up or down at random with probability equal to the fractional part.</t>
        </is>
      </c>
    </row>
    <row r="45">
      <c r="A45" s="5" t="inlineStr">
        <is>
          <t>Patch width</t>
        </is>
      </c>
      <c r="B45" s="5" t="inlineStr">
        <is>
          <t>cells</t>
        </is>
      </c>
      <c r="C45" s="12">
        <f>C42/Inputs!$C$56</f>
        <v/>
      </c>
      <c r="D45" s="12">
        <f>D42/Inputs!$D$56</f>
        <v/>
      </c>
      <c r="E45" s="6" t="inlineStr"/>
    </row>
    <row r="46">
      <c r="A46" s="5" t="inlineStr">
        <is>
          <t>Payload ratio (seaplane / eVTOL)</t>
        </is>
      </c>
      <c r="B46" s="5" t="inlineStr">
        <is>
          <t>x</t>
        </is>
      </c>
      <c r="C46" s="12">
        <f>Inputs!$D$13/Inputs!$C$13</f>
        <v/>
      </c>
      <c r="D46" s="12" t="inlineStr"/>
      <c r="E46" s="6" t="inlineStr">
        <is>
          <t>One seaplane drop covers this many eVTOL drops.</t>
        </is>
      </c>
    </row>
    <row r="47">
      <c r="A47" s="4" t="inlineStr">
        <is>
          <t>Mass</t>
        </is>
      </c>
      <c r="B47" s="4" t="n"/>
      <c r="C47" s="4" t="n"/>
      <c r="D47" s="4" t="n"/>
      <c r="E47" s="4" t="n"/>
    </row>
    <row r="48">
      <c r="A48" s="5" t="inlineStr">
        <is>
          <t>Fuel mass at full tanks</t>
        </is>
      </c>
      <c r="B48" s="5" t="inlineStr">
        <is>
          <t>kg</t>
        </is>
      </c>
      <c r="C48" s="8">
        <f>IF(Inputs!$C$8="electric",0,Inputs!$C$21)</f>
        <v/>
      </c>
      <c r="D48" s="8">
        <f>IF(Inputs!$D$8="electric",0,Inputs!$D$21)</f>
        <v/>
      </c>
      <c r="E48" s="6" t="inlineStr">
        <is>
          <t>Electric: battery mass is inside empty_mass.</t>
        </is>
      </c>
    </row>
    <row r="49">
      <c r="A49" s="5" t="inlineStr">
        <is>
          <t>Departure mass (full propellant + water)</t>
        </is>
      </c>
      <c r="B49" s="5" t="inlineStr">
        <is>
          <t>kg</t>
        </is>
      </c>
      <c r="C49" s="8">
        <f>Inputs!$C$12+Inputs!$C$13+C48</f>
        <v/>
      </c>
      <c r="D49" s="8">
        <f>Inputs!$D$12+Inputs!$D$13+D48</f>
        <v/>
      </c>
      <c r="E49" s="6" t="inlineStr"/>
    </row>
    <row r="50">
      <c r="A50" s="5" t="inlineStr">
        <is>
          <t>Margin to MTOM</t>
        </is>
      </c>
      <c r="B50" s="5" t="inlineStr">
        <is>
          <t>kg</t>
        </is>
      </c>
      <c r="C50" s="16">
        <f>Inputs!$C$11-C49</f>
        <v/>
      </c>
      <c r="D50" s="16">
        <f>Inputs!$D$11-D49</f>
        <v/>
      </c>
      <c r="E50" s="6" t="inlineStr">
        <is>
          <t>Both configs are loaded exactly to MTOM.</t>
        </is>
      </c>
    </row>
    <row r="51">
      <c r="A51" s="5" t="inlineStr">
        <is>
          <t>Mass after the drop (full propellant)</t>
        </is>
      </c>
      <c r="B51" s="5" t="inlineStr">
        <is>
          <t>kg</t>
        </is>
      </c>
      <c r="C51" s="8">
        <f>Inputs!$C$12+C48</f>
        <v/>
      </c>
      <c r="D51" s="8">
        <f>Inputs!$D$12+D48</f>
        <v/>
      </c>
      <c r="E51" s="6" t="inlineStr"/>
    </row>
    <row r="52">
      <c r="A52" s="5" t="inlineStr">
        <is>
          <t>Payload share of departure mass</t>
        </is>
      </c>
      <c r="B52" s="5" t="inlineStr">
        <is>
          <t>%</t>
        </is>
      </c>
      <c r="C52" s="10">
        <f>Inputs!$C$13/C49</f>
        <v/>
      </c>
      <c r="D52" s="10">
        <f>Inputs!$D$13/D49</f>
        <v/>
      </c>
      <c r="E5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70" customWidth="1" min="11" max="11"/>
  </cols>
  <sheetData>
    <row r="1">
      <c r="A1" s="1" t="inlineStr">
        <is>
          <t>Energy and fuel consumption per flight state</t>
        </is>
      </c>
    </row>
    <row r="2">
      <c r="A2" s="2" t="inlineStr">
        <is>
          <t>eVTOL: power [kW = kJ/s] is linearly interpolated between the two table masses (make_interp_spline, k=1). Seaplane: fuel flow [kg/s] is a linear function of mass through the two table points (the propulsion ODE integrates it exactly). Both extrapolate outside the table.</t>
        </is>
      </c>
    </row>
    <row r="4">
      <c r="A4" s="4" t="inlineStr">
        <is>
          <t>eVTOL (example_aircraft_1)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</row>
    <row r="5">
      <c r="A5" s="5" t="inlineStr">
        <is>
          <t>Table mass 1</t>
        </is>
      </c>
      <c r="B5" s="7" t="n">
        <v>1628</v>
      </c>
      <c r="C5" s="5" t="inlineStr">
        <is>
          <t>kg</t>
        </is>
      </c>
    </row>
    <row r="6">
      <c r="A6" s="5" t="inlineStr">
        <is>
          <t>Table mass 2</t>
        </is>
      </c>
      <c r="B6" s="7" t="n">
        <v>2128</v>
      </c>
      <c r="C6" s="5" t="inlineStr">
        <is>
          <t>kg</t>
        </is>
      </c>
    </row>
    <row r="7">
      <c r="A7" s="5" t="inlineStr">
        <is>
          <t>Empty mass (no water)</t>
        </is>
      </c>
      <c r="B7" s="8">
        <f>Inputs!$C$12</f>
        <v/>
      </c>
      <c r="C7" s="5" t="inlineStr">
        <is>
          <t>kg</t>
        </is>
      </c>
    </row>
    <row r="8">
      <c r="A8" s="5" t="inlineStr">
        <is>
          <t>Loaded mass (with water)</t>
        </is>
      </c>
      <c r="B8" s="8">
        <f>Inputs!$C$12+Inputs!$C$13</f>
        <v/>
      </c>
      <c r="C8" s="5" t="inlineStr">
        <is>
          <t>kg</t>
        </is>
      </c>
    </row>
    <row r="9">
      <c r="A9" s="5" t="inlineStr">
        <is>
          <t>Usable energy</t>
        </is>
      </c>
      <c r="B9" s="9">
        <f>Derived!$C$6</f>
        <v/>
      </c>
      <c r="C9" s="5" t="inlineStr">
        <is>
          <t>kJ</t>
        </is>
      </c>
    </row>
    <row r="11">
      <c r="A11" s="3" t="inlineStr">
        <is>
          <t>Flight state</t>
        </is>
      </c>
      <c r="B11" s="3" t="inlineStr">
        <is>
          <t>Power @ 1628 kg [kW]</t>
        </is>
      </c>
      <c r="C11" s="3" t="inlineStr">
        <is>
          <t>Power @ 2128 kg [kW]</t>
        </is>
      </c>
      <c r="D11" s="3" t="inlineStr">
        <is>
          <t>Power @ empty [kW]</t>
        </is>
      </c>
      <c r="E11" s="3" t="inlineStr">
        <is>
          <t>Power @ loaded [kW]</t>
        </is>
      </c>
      <c r="F11" s="3" t="inlineStr">
        <is>
          <t>Endurance @ empty [min]</t>
        </is>
      </c>
      <c r="G11" s="3" t="inlineStr">
        <is>
          <t>Endurance @ loaded [min]</t>
        </is>
      </c>
      <c r="H11" s="3" t="inlineStr"/>
      <c r="I11" s="3" t="inlineStr"/>
      <c r="J11" s="3" t="inlineStr"/>
      <c r="K11" s="3" t="inlineStr">
        <is>
          <t>When it is billed</t>
        </is>
      </c>
    </row>
    <row r="12">
      <c r="A12" s="5" t="inlineStr">
        <is>
          <t>taxi_out</t>
        </is>
      </c>
      <c r="B12" s="18" t="n">
        <v>32.654</v>
      </c>
      <c r="C12" s="18" t="n">
        <v>42.612</v>
      </c>
      <c r="D12" s="12">
        <f>B12+(C12-B12)*($B$7-$B$5)/($B$6-$B$5)</f>
        <v/>
      </c>
      <c r="E12" s="12">
        <f>B12+(C12-B12)*($B$8-$B$5)/($B$6-$B$5)</f>
        <v/>
      </c>
      <c r="F12" s="12">
        <f>IF(D12=0,"-",$B$9/D12/60)</f>
        <v/>
      </c>
      <c r="G12" s="12">
        <f>IF(E12=0,"-",$B$9/E12/60)</f>
        <v/>
      </c>
      <c r="K12" s="6" t="inlineStr">
        <is>
          <t>Never (no taxi task).</t>
        </is>
      </c>
    </row>
    <row r="13">
      <c r="A13" s="5" t="inlineStr">
        <is>
          <t>takeoff</t>
        </is>
      </c>
      <c r="B13" s="18" t="n">
        <v>332.452</v>
      </c>
      <c r="C13" s="18" t="n">
        <v>433.089</v>
      </c>
      <c r="D13" s="12">
        <f>B13+(C13-B13)*($B$7-$B$5)/($B$6-$B$5)</f>
        <v/>
      </c>
      <c r="E13" s="12">
        <f>B13+(C13-B13)*($B$8-$B$5)/($B$6-$B$5)</f>
        <v/>
      </c>
      <c r="F13" s="12">
        <f>IF(D13=0,"-",$B$9/D13/60)</f>
        <v/>
      </c>
      <c r="G13" s="12">
        <f>IF(E13=0,"-",$B$9/E13/60)</f>
        <v/>
      </c>
      <c r="K13" s="6" t="inlineStr">
        <is>
          <t>30 s vertical climb from base (loaded) and the 0.24 m hop after a scoop.</t>
        </is>
      </c>
    </row>
    <row r="14">
      <c r="A14" s="5" t="inlineStr">
        <is>
          <t>transition</t>
        </is>
      </c>
      <c r="B14" s="18" t="n">
        <v>274.267</v>
      </c>
      <c r="C14" s="18" t="n">
        <v>330.716</v>
      </c>
      <c r="D14" s="12">
        <f>B14+(C14-B14)*($B$7-$B$5)/($B$6-$B$5)</f>
        <v/>
      </c>
      <c r="E14" s="12">
        <f>B14+(C14-B14)*($B$8-$B$5)/($B$6-$B$5)</f>
        <v/>
      </c>
      <c r="F14" s="12">
        <f>IF(D14=0,"-",$B$9/D14/60)</f>
        <v/>
      </c>
      <c r="G14" s="12">
        <f>IF(E14=0,"-",$B$9/E14/60)</f>
        <v/>
      </c>
      <c r="K14" s="6" t="inlineStr">
        <is>
          <t>45.9 s stationary hold after every takeoff.</t>
        </is>
      </c>
    </row>
    <row r="15">
      <c r="A15" s="5" t="inlineStr">
        <is>
          <t>cruise_climb</t>
        </is>
      </c>
      <c r="B15" s="18" t="n">
        <v>350.8</v>
      </c>
      <c r="C15" s="18" t="n">
        <v>385.032</v>
      </c>
      <c r="D15" s="12">
        <f>B15+(C15-B15)*($B$7-$B$5)/($B$6-$B$5)</f>
        <v/>
      </c>
      <c r="E15" s="12">
        <f>B15+(C15-B15)*($B$8-$B$5)/($B$6-$B$5)</f>
        <v/>
      </c>
      <c r="F15" s="12">
        <f>IF(D15=0,"-",$B$9/D15/60)</f>
        <v/>
      </c>
      <c r="G15" s="12">
        <f>IF(E15=0,"-",$B$9/E15/60)</f>
        <v/>
      </c>
      <c r="K15" s="6" t="inlineStr">
        <is>
          <t>Climb legs.</t>
        </is>
      </c>
    </row>
    <row r="16">
      <c r="A16" s="5" t="inlineStr">
        <is>
          <t>cruise</t>
        </is>
      </c>
      <c r="B16" s="18" t="n">
        <v>268.507</v>
      </c>
      <c r="C16" s="18" t="n">
        <v>285.914</v>
      </c>
      <c r="D16" s="12">
        <f>B16+(C16-B16)*($B$7-$B$5)/($B$6-$B$5)</f>
        <v/>
      </c>
      <c r="E16" s="12">
        <f>B16+(C16-B16)*($B$8-$B$5)/($B$6-$B$5)</f>
        <v/>
      </c>
      <c r="F16" s="12">
        <f>IF(D16=0,"-",$B$9/D16/60)</f>
        <v/>
      </c>
      <c r="G16" s="12">
        <f>IF(E16=0,"-",$B$9/E16/60)</f>
        <v/>
      </c>
      <c r="K16" s="6" t="inlineStr">
        <is>
          <t>Level legs once cruise altitude is reached (needs a leg of about 12 km).</t>
        </is>
      </c>
    </row>
    <row r="17">
      <c r="A17" s="5" t="inlineStr">
        <is>
          <t>cruise_descent</t>
        </is>
      </c>
      <c r="B17" s="18" t="n">
        <v>195.196</v>
      </c>
      <c r="C17" s="18" t="n">
        <v>195.027</v>
      </c>
      <c r="D17" s="12">
        <f>B17+(C17-B17)*($B$7-$B$5)/($B$6-$B$5)</f>
        <v/>
      </c>
      <c r="E17" s="12">
        <f>B17+(C17-B17)*($B$8-$B$5)/($B$6-$B$5)</f>
        <v/>
      </c>
      <c r="F17" s="12">
        <f>IF(D17=0,"-",$B$9/D17/60)</f>
        <v/>
      </c>
      <c r="G17" s="12">
        <f>IF(E17=0,"-",$B$9/E17/60)</f>
        <v/>
      </c>
      <c r="K17" s="6" t="inlineStr">
        <is>
          <t>Descent legs to fire, water or base.</t>
        </is>
      </c>
    </row>
    <row r="18">
      <c r="A18" s="5" t="inlineStr">
        <is>
          <t>retransition</t>
        </is>
      </c>
      <c r="B18" s="18" t="n">
        <v>274.267</v>
      </c>
      <c r="C18" s="18" t="n">
        <v>330.716</v>
      </c>
      <c r="D18" s="12">
        <f>B18+(C18-B18)*($B$7-$B$5)/($B$6-$B$5)</f>
        <v/>
      </c>
      <c r="E18" s="12">
        <f>B18+(C18-B18)*($B$8-$B$5)/($B$6-$B$5)</f>
        <v/>
      </c>
      <c r="F18" s="12">
        <f>IF(D18=0,"-",$B$9/D18/60)</f>
        <v/>
      </c>
      <c r="G18" s="12">
        <f>IF(E18=0,"-",$B$9/E18/60)</f>
        <v/>
      </c>
      <c r="K18" s="6" t="inlineStr">
        <is>
          <t>45.9 s hold before every base landing and before every water descent.</t>
        </is>
      </c>
    </row>
    <row r="19">
      <c r="A19" s="5" t="inlineStr">
        <is>
          <t>landing</t>
        </is>
      </c>
      <c r="B19" s="18" t="n">
        <v>332.452</v>
      </c>
      <c r="C19" s="18" t="n">
        <v>433.089</v>
      </c>
      <c r="D19" s="12">
        <f>B19+(C19-B19)*($B$7-$B$5)/($B$6-$B$5)</f>
        <v/>
      </c>
      <c r="E19" s="12">
        <f>B19+(C19-B19)*($B$8-$B$5)/($B$6-$B$5)</f>
        <v/>
      </c>
      <c r="F19" s="12">
        <f>IF(D19=0,"-",$B$9/D19/60)</f>
        <v/>
      </c>
      <c r="G19" s="12">
        <f>IF(E19=0,"-",$B$9/E19/60)</f>
        <v/>
      </c>
      <c r="K19" s="6" t="inlineStr">
        <is>
          <t>30 s vertical descent at base (empty).</t>
        </is>
      </c>
    </row>
    <row r="20">
      <c r="A20" s="5" t="inlineStr">
        <is>
          <t>taxi_in</t>
        </is>
      </c>
      <c r="B20" s="18" t="n">
        <v>32.654</v>
      </c>
      <c r="C20" s="18" t="n">
        <v>42.612</v>
      </c>
      <c r="D20" s="12">
        <f>B20+(C20-B20)*($B$7-$B$5)/($B$6-$B$5)</f>
        <v/>
      </c>
      <c r="E20" s="12">
        <f>B20+(C20-B20)*($B$8-$B$5)/($B$6-$B$5)</f>
        <v/>
      </c>
      <c r="F20" s="12">
        <f>IF(D20=0,"-",$B$9/D20/60)</f>
        <v/>
      </c>
      <c r="G20" s="12">
        <f>IF(E20=0,"-",$B$9/E20/60)</f>
        <v/>
      </c>
      <c r="K20" s="6" t="inlineStr">
        <is>
          <t>Never (no taxi task).</t>
        </is>
      </c>
    </row>
    <row r="21">
      <c r="A21" s="5" t="inlineStr">
        <is>
          <t>loiter</t>
        </is>
      </c>
      <c r="B21" s="18" t="n">
        <v>277.489</v>
      </c>
      <c r="C21" s="18" t="n">
        <v>294.145</v>
      </c>
      <c r="D21" s="12">
        <f>B21+(C21-B21)*($B$7-$B$5)/($B$6-$B$5)</f>
        <v/>
      </c>
      <c r="E21" s="12">
        <f>B21+(C21-B21)*($B$8-$B$5)/($B$6-$B$5)</f>
        <v/>
      </c>
      <c r="F21" s="12">
        <f>IF(D21=0,"-",$B$9/D21/60)</f>
        <v/>
      </c>
      <c r="G21" s="12">
        <f>IF(E21=0,"-",$B$9/E21/60)</f>
        <v/>
      </c>
      <c r="K21" s="6" t="inlineStr">
        <is>
          <t>30 s scoop hold at water.</t>
        </is>
      </c>
    </row>
    <row r="22">
      <c r="A22" s="5" t="inlineStr">
        <is>
          <t>hover</t>
        </is>
      </c>
      <c r="B22" s="18" t="n">
        <v>326.543</v>
      </c>
      <c r="C22" s="18" t="n">
        <v>426.117</v>
      </c>
      <c r="D22" s="12">
        <f>B22+(C22-B22)*($B$7-$B$5)/($B$6-$B$5)</f>
        <v/>
      </c>
      <c r="E22" s="12">
        <f>B22+(C22-B22)*($B$8-$B$5)/($B$6-$B$5)</f>
        <v/>
      </c>
      <c r="F22" s="12">
        <f>IF(D22=0,"-",$B$9/D22/60)</f>
        <v/>
      </c>
      <c r="G22" s="12">
        <f>IF(E22=0,"-",$B$9/E22/60)</f>
        <v/>
      </c>
      <c r="K22" s="6" t="inlineStr">
        <is>
          <t>HOVER state is never entered by the wildfire tactic.</t>
        </is>
      </c>
    </row>
    <row r="24">
      <c r="A24" s="4" t="inlineStr">
        <is>
          <t>Seaplane (example_seaplane_1)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</row>
    <row r="25">
      <c r="A25" s="5" t="inlineStr">
        <is>
          <t>Dry mass (empty + full fuel, no water)</t>
        </is>
      </c>
      <c r="B25" s="8">
        <f>Inputs!$D$12+Inputs!$D$21</f>
        <v/>
      </c>
      <c r="C25" s="5" t="inlineStr">
        <is>
          <t>kg</t>
        </is>
      </c>
    </row>
    <row r="26">
      <c r="A26" s="5" t="inlineStr">
        <is>
          <t>Full mass (+ water)</t>
        </is>
      </c>
      <c r="B26" s="8">
        <f>B25+Inputs!$D$13</f>
        <v/>
      </c>
      <c r="C26" s="5" t="inlineStr">
        <is>
          <t>kg</t>
        </is>
      </c>
    </row>
    <row r="27">
      <c r="A27" s="5" t="inlineStr">
        <is>
          <t>Usable fuel</t>
        </is>
      </c>
      <c r="B27" s="8">
        <f>Derived!$D$6</f>
        <v/>
      </c>
      <c r="C27" s="5" t="inlineStr">
        <is>
          <t>kg</t>
        </is>
      </c>
    </row>
    <row r="29">
      <c r="A29" s="3" t="inlineStr">
        <is>
          <t>Flight state</t>
        </is>
      </c>
      <c r="B29" s="3" t="inlineStr">
        <is>
          <t>Table mass 1 [kg]</t>
        </is>
      </c>
      <c r="C29" s="3" t="inlineStr">
        <is>
          <t>fc @ mass 1 [kg/s]</t>
        </is>
      </c>
      <c r="D29" s="3" t="inlineStr">
        <is>
          <t>Table mass 2 [kg]</t>
        </is>
      </c>
      <c r="E29" s="3" t="inlineStr">
        <is>
          <t>fc @ mass 2 [kg/s]</t>
        </is>
      </c>
      <c r="F29" s="3" t="inlineStr">
        <is>
          <t>fc @ dry mass [kg/s]</t>
        </is>
      </c>
      <c r="G29" s="3" t="inlineStr">
        <is>
          <t>fc @ full mass [kg/s]</t>
        </is>
      </c>
      <c r="H29" s="3" t="inlineStr">
        <is>
          <t>Endurance @ dry [h]</t>
        </is>
      </c>
      <c r="I29" s="3" t="inlineStr">
        <is>
          <t>Endurance @ full [h]</t>
        </is>
      </c>
      <c r="J29" s="3" t="inlineStr"/>
      <c r="K29" s="3" t="inlineStr">
        <is>
          <t>When it is billed / caveat</t>
        </is>
      </c>
    </row>
    <row r="30">
      <c r="A30" s="5" t="inlineStr">
        <is>
          <t>taxi_out</t>
        </is>
      </c>
      <c r="C30" s="19" t="n">
        <v>0.01573426452470746</v>
      </c>
      <c r="F30" s="20">
        <f>IF(D30="",C30,C30+(E30-C30)*($B$25-B30)/(D30-B30))</f>
        <v/>
      </c>
      <c r="G30" s="20">
        <f>IF(D30="",C30,C30+(E30-C30)*($B$26-B30)/(D30-B30))</f>
        <v/>
      </c>
      <c r="H30" s="14">
        <f>IF(F30=0,"-",$B$27/F30/3600)</f>
        <v/>
      </c>
      <c r="I30" s="14">
        <f>IF(G30=0,"-",$B$27/G30/3600)</f>
        <v/>
      </c>
      <c r="K30" s="6" t="inlineStr">
        <is>
          <t>Never (no taxi task).</t>
        </is>
      </c>
    </row>
    <row r="31">
      <c r="A31" s="5" t="inlineStr">
        <is>
          <t>takeoff</t>
        </is>
      </c>
      <c r="C31" s="19" t="n">
        <v>0.09107378043730356</v>
      </c>
      <c r="F31" s="20">
        <f>IF(D31="",C31,C31+(E31-C31)*($B$25-B31)/(D31-B31))</f>
        <v/>
      </c>
      <c r="G31" s="20">
        <f>IF(D31="",C31,C31+(E31-C31)*($B$26-B31)/(D31-B31))</f>
        <v/>
      </c>
      <c r="H31" s="14">
        <f>IF(F31=0,"-",$B$27/F31/3600)</f>
        <v/>
      </c>
      <c r="I31" s="14">
        <f>IF(G31=0,"-",$B$27/G31/3600)</f>
        <v/>
      </c>
      <c r="K31" s="6" t="inlineStr">
        <is>
          <t>120 s ground-roll climb to 457 m from base, and the ~116 s climb from 15 m after a scoop.</t>
        </is>
      </c>
    </row>
    <row r="32">
      <c r="A32" s="5" t="inlineStr">
        <is>
          <t>transition</t>
        </is>
      </c>
      <c r="C32" s="19" t="n">
        <v>0</v>
      </c>
      <c r="F32" s="20">
        <f>IF(D32="",C32,C32+(E32-C32)*($B$25-B32)/(D32-B32))</f>
        <v/>
      </c>
      <c r="G32" s="20">
        <f>IF(D32="",C32,C32+(E32-C32)*($B$26-B32)/(D32-B32))</f>
        <v/>
      </c>
      <c r="H32" s="14">
        <f>IF(F32=0,"-",$B$27/F32/3600)</f>
        <v/>
      </c>
      <c r="I32" s="14">
        <f>IF(G32=0,"-",$B$27/G32/3600)</f>
        <v/>
      </c>
      <c r="K32" s="6" t="inlineStr">
        <is>
          <t>0 s hold: never billed.</t>
        </is>
      </c>
    </row>
    <row r="33">
      <c r="A33" s="5" t="inlineStr">
        <is>
          <t>cruise_climb</t>
        </is>
      </c>
      <c r="B33" s="21" t="n">
        <v>3875</v>
      </c>
      <c r="C33" s="19" t="n">
        <v>0.0515411</v>
      </c>
      <c r="D33" s="21" t="n">
        <v>3897</v>
      </c>
      <c r="E33" s="19" t="n">
        <v>0.0590774</v>
      </c>
      <c r="F33" s="20">
        <f>IF(D33="",C33,C33+(E33-C33)*($B$25-B33)/(D33-B33))</f>
        <v/>
      </c>
      <c r="G33" s="20">
        <f>IF(D33="",C33,C33+(E33-C33)*($B$26-B33)/(D33-B33))</f>
        <v/>
      </c>
      <c r="H33" s="14">
        <f>IF(F33=0,"-",$B$27/F33/3600)</f>
        <v/>
      </c>
      <c r="I33" s="14">
        <f>IF(G33=0,"-",$B$27/G33/3600)</f>
        <v/>
      </c>
      <c r="K33" s="6" t="inlineStr">
        <is>
          <t>CAVEAT: table keys are 22 kg apart and 1300-2600 kg below operating mass, so the linear extrapolation gives 10-18x the tabulated flow. Most Palisades legs are flown in this state. Worth checking against the source data.</t>
        </is>
      </c>
    </row>
    <row r="34">
      <c r="A34" s="5" t="inlineStr">
        <is>
          <t>cruise</t>
        </is>
      </c>
      <c r="B34" s="21" t="n">
        <v>3690</v>
      </c>
      <c r="C34" s="19" t="n">
        <v>0.0345278</v>
      </c>
      <c r="D34" s="21" t="n">
        <v>3874</v>
      </c>
      <c r="E34" s="19" t="n">
        <v>0.0348847</v>
      </c>
      <c r="F34" s="20">
        <f>IF(D34="",C34,C34+(E34-C34)*($B$25-B34)/(D34-B34))</f>
        <v/>
      </c>
      <c r="G34" s="20">
        <f>IF(D34="",C34,C34+(E34-C34)*($B$26-B34)/(D34-B34))</f>
        <v/>
      </c>
      <c r="H34" s="14">
        <f>IF(F34=0,"-",$B$27/F34/3600)</f>
        <v/>
      </c>
      <c r="I34" s="14">
        <f>IF(G34=0,"-",$B$27/G34/3600)</f>
        <v/>
      </c>
      <c r="K34" s="6" t="inlineStr">
        <is>
          <t>Level legs; only reached on legs longer than about 79 km.</t>
        </is>
      </c>
    </row>
    <row r="35">
      <c r="A35" s="5" t="inlineStr">
        <is>
          <t>cruise_descent</t>
        </is>
      </c>
      <c r="B35" s="21" t="n">
        <v>3690</v>
      </c>
      <c r="C35" s="19" t="n">
        <v>0.0345278</v>
      </c>
      <c r="D35" s="21" t="n">
        <v>3874</v>
      </c>
      <c r="E35" s="19" t="n">
        <v>0.0348847</v>
      </c>
      <c r="F35" s="20">
        <f>IF(D35="",C35,C35+(E35-C35)*($B$25-B35)/(D35-B35))</f>
        <v/>
      </c>
      <c r="G35" s="20">
        <f>IF(D35="",C35,C35+(E35-C35)*($B$26-B35)/(D35-B35))</f>
        <v/>
      </c>
      <c r="H35" s="14">
        <f>IF(F35=0,"-",$B$27/F35/3600)</f>
        <v/>
      </c>
      <c r="I35" s="14">
        <f>IF(G35=0,"-",$B$27/G35/3600)</f>
        <v/>
      </c>
      <c r="K35" s="6" t="inlineStr">
        <is>
          <t>Descent legs (same table as cruise).</t>
        </is>
      </c>
    </row>
    <row r="36">
      <c r="A36" s="5" t="inlineStr">
        <is>
          <t>retransition</t>
        </is>
      </c>
      <c r="C36" s="19" t="n">
        <v>0</v>
      </c>
      <c r="F36" s="20">
        <f>IF(D36="",C36,C36+(E36-C36)*($B$25-B36)/(D36-B36))</f>
        <v/>
      </c>
      <c r="G36" s="20">
        <f>IF(D36="",C36,C36+(E36-C36)*($B$26-B36)/(D36-B36))</f>
        <v/>
      </c>
      <c r="H36" s="14">
        <f>IF(F36=0,"-",$B$27/F36/3600)</f>
        <v/>
      </c>
      <c r="I36" s="14">
        <f>IF(G36=0,"-",$B$27/G36/3600)</f>
        <v/>
      </c>
      <c r="K36" s="6" t="inlineStr">
        <is>
          <t>0 s hold: never billed.</t>
        </is>
      </c>
    </row>
    <row r="37">
      <c r="A37" s="5" t="inlineStr">
        <is>
          <t>landing</t>
        </is>
      </c>
      <c r="C37" s="19" t="n">
        <v>0.0217682300235924</v>
      </c>
      <c r="F37" s="20">
        <f>IF(D37="",C37,C37+(E37-C37)*($B$25-B37)/(D37-B37))</f>
        <v/>
      </c>
      <c r="G37" s="20">
        <f>IF(D37="",C37,C37+(E37-C37)*($B$26-B37)/(D37-B37))</f>
        <v/>
      </c>
      <c r="H37" s="14">
        <f>IF(F37=0,"-",$B$27/F37/3600)</f>
        <v/>
      </c>
      <c r="I37" s="14">
        <f>IF(G37=0,"-",$B$27/G37/3600)</f>
        <v/>
      </c>
      <c r="K37" s="6" t="inlineStr">
        <is>
          <t>120 s descent at base from 457 m.</t>
        </is>
      </c>
    </row>
    <row r="38">
      <c r="A38" s="5" t="inlineStr">
        <is>
          <t>taxi_in</t>
        </is>
      </c>
      <c r="C38" s="19" t="n">
        <v>0.01573426452470746</v>
      </c>
      <c r="F38" s="20">
        <f>IF(D38="",C38,C38+(E38-C38)*($B$25-B38)/(D38-B38))</f>
        <v/>
      </c>
      <c r="G38" s="20">
        <f>IF(D38="",C38,C38+(E38-C38)*($B$26-B38)/(D38-B38))</f>
        <v/>
      </c>
      <c r="H38" s="14">
        <f>IF(F38=0,"-",$B$27/F38/3600)</f>
        <v/>
      </c>
      <c r="I38" s="14">
        <f>IF(G38=0,"-",$B$27/G38/3600)</f>
        <v/>
      </c>
      <c r="K38" s="6" t="inlineStr">
        <is>
          <t>Never (no taxi task).</t>
        </is>
      </c>
    </row>
    <row r="39">
      <c r="A39" s="5" t="inlineStr">
        <is>
          <t>loiter</t>
        </is>
      </c>
      <c r="C39" s="19" t="n">
        <v>0.0345278</v>
      </c>
      <c r="F39" s="20">
        <f>IF(D39="",C39,C39+(E39-C39)*($B$25-B39)/(D39-B39))</f>
        <v/>
      </c>
      <c r="G39" s="20">
        <f>IF(D39="",C39,C39+(E39-C39)*($B$26-B39)/(D39-B39))</f>
        <v/>
      </c>
      <c r="H39" s="14">
        <f>IF(F39=0,"-",$B$27/F39/3600)</f>
        <v/>
      </c>
      <c r="I39" s="14">
        <f>IF(G39=0,"-",$B$27/G39/3600)</f>
        <v/>
      </c>
      <c r="K39" s="6" t="inlineStr">
        <is>
          <t>30 s scoop hold at water.</t>
        </is>
      </c>
    </row>
    <row r="40">
      <c r="A40" s="5" t="inlineStr">
        <is>
          <t>hover</t>
        </is>
      </c>
      <c r="C40" s="19" t="n">
        <v>0</v>
      </c>
      <c r="F40" s="20">
        <f>IF(D40="",C40,C40+(E40-C40)*($B$25-B40)/(D40-B40))</f>
        <v/>
      </c>
      <c r="G40" s="20">
        <f>IF(D40="",C40,C40+(E40-C40)*($B$26-B40)/(D40-B40))</f>
        <v/>
      </c>
      <c r="H40" s="14">
        <f>IF(F40=0,"-",$B$27/F40/3600)</f>
        <v/>
      </c>
      <c r="I40" s="14">
        <f>IF(G40=0,"-",$B$27/G40/3600)</f>
        <v/>
      </c>
      <c r="K40" s="6" t="inlineStr">
        <is>
          <t>Default 0; HOVER state is never entered.</t>
        </is>
      </c>
    </row>
    <row r="42">
      <c r="A42" s="4" t="inlineStr">
        <is>
          <t>Fixed (non-cruise) segments of one base -&gt; fire -&gt; water -&gt; ... -&gt; base cycle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>
      <c r="A43" s="3" t="inlineStr">
        <is>
          <t>Segment</t>
        </is>
      </c>
      <c r="B43" s="3" t="inlineStr">
        <is>
          <t>eVTOL duration [s]</t>
        </is>
      </c>
      <c r="C43" s="3" t="inlineStr">
        <is>
          <t>eVTOL power [kW]</t>
        </is>
      </c>
      <c r="D43" s="3" t="inlineStr">
        <is>
          <t>eVTOL energy [kJ]</t>
        </is>
      </c>
      <c r="E43" s="3" t="inlineStr">
        <is>
          <t>Seaplane duration [s]</t>
        </is>
      </c>
      <c r="F43" s="3" t="inlineStr">
        <is>
          <t>Seaplane fc [kg/s]</t>
        </is>
      </c>
      <c r="G43" s="3" t="inlineStr">
        <is>
          <t>Seaplane fuel [kg]</t>
        </is>
      </c>
      <c r="H43" s="3" t="inlineStr"/>
      <c r="I43" s="3" t="inlineStr"/>
      <c r="J43" s="3" t="inlineStr"/>
      <c r="K43" s="3" t="inlineStr">
        <is>
          <t>Mass assumed</t>
        </is>
      </c>
    </row>
    <row r="44">
      <c r="A44" s="5" t="inlineStr">
        <is>
          <t>Takeoff from base</t>
        </is>
      </c>
      <c r="B44" s="12">
        <f>Derived!$C$13</f>
        <v/>
      </c>
      <c r="C44" s="12">
        <f>E13</f>
        <v/>
      </c>
      <c r="D44" s="9">
        <f>B44*C44</f>
        <v/>
      </c>
      <c r="E44" s="12">
        <f>Derived!$D$13</f>
        <v/>
      </c>
      <c r="F44" s="20">
        <f>G31</f>
        <v/>
      </c>
      <c r="G44" s="12">
        <f>E44*F44</f>
        <v/>
      </c>
      <c r="K44" s="6" t="inlineStr">
        <is>
          <t>Loaded (water on board).</t>
        </is>
      </c>
    </row>
    <row r="45">
      <c r="A45" s="5" t="inlineStr">
        <is>
          <t>Transition after takeoff</t>
        </is>
      </c>
      <c r="B45" s="12">
        <f>Derived!$C$15</f>
        <v/>
      </c>
      <c r="C45" s="12">
        <f>E14</f>
        <v/>
      </c>
      <c r="D45" s="9">
        <f>B45*C45</f>
        <v/>
      </c>
      <c r="E45" s="12">
        <f>Derived!$D$15</f>
        <v/>
      </c>
      <c r="F45" s="20">
        <f>G32</f>
        <v/>
      </c>
      <c r="G45" s="12">
        <f>E45*F45</f>
        <v/>
      </c>
      <c r="K45" s="6" t="inlineStr">
        <is>
          <t>Loaded.</t>
        </is>
      </c>
    </row>
    <row r="46">
      <c r="A46" s="5" t="inlineStr">
        <is>
          <t>Retransition before water descent</t>
        </is>
      </c>
      <c r="B46" s="12">
        <f>Derived!$C$33</f>
        <v/>
      </c>
      <c r="C46" s="12">
        <f>D18</f>
        <v/>
      </c>
      <c r="D46" s="9">
        <f>B46*C46</f>
        <v/>
      </c>
      <c r="E46" s="12">
        <f>Derived!$D$33</f>
        <v/>
      </c>
      <c r="F46" s="20">
        <f>F36</f>
        <v/>
      </c>
      <c r="G46" s="12">
        <f>E46*F46</f>
        <v/>
      </c>
      <c r="K46" s="6" t="inlineStr">
        <is>
          <t>Empty (payload dropped).</t>
        </is>
      </c>
    </row>
    <row r="47">
      <c r="A47" s="5" t="inlineStr">
        <is>
          <t>Scoop hold</t>
        </is>
      </c>
      <c r="B47" s="12">
        <f>Derived!$C$34</f>
        <v/>
      </c>
      <c r="C47" s="12">
        <f>D21</f>
        <v/>
      </c>
      <c r="D47" s="9">
        <f>B47*C47</f>
        <v/>
      </c>
      <c r="E47" s="12">
        <f>Derived!$D$34</f>
        <v/>
      </c>
      <c r="F47" s="20">
        <f>F39</f>
        <v/>
      </c>
      <c r="G47" s="12">
        <f>E47*F47</f>
        <v/>
      </c>
      <c r="K47" s="6" t="inlineStr">
        <is>
          <t>Empty until the hold ends.</t>
        </is>
      </c>
    </row>
    <row r="48">
      <c r="A48" s="5" t="inlineStr">
        <is>
          <t>Post-scoop climb</t>
        </is>
      </c>
      <c r="B48" s="12">
        <f>Derived!$C$36</f>
        <v/>
      </c>
      <c r="C48" s="12">
        <f>E13</f>
        <v/>
      </c>
      <c r="D48" s="9">
        <f>B48*C48</f>
        <v/>
      </c>
      <c r="E48" s="12">
        <f>Derived!$D$36</f>
        <v/>
      </c>
      <c r="F48" s="20">
        <f>G31</f>
        <v/>
      </c>
      <c r="G48" s="12">
        <f>E48*F48</f>
        <v/>
      </c>
      <c r="K48" s="6" t="inlineStr">
        <is>
          <t>Loaded.</t>
        </is>
      </c>
    </row>
    <row r="49">
      <c r="A49" s="5" t="inlineStr">
        <is>
          <t>Transition after scoop</t>
        </is>
      </c>
      <c r="B49" s="12">
        <f>Derived!$C$15</f>
        <v/>
      </c>
      <c r="C49" s="12">
        <f>E14</f>
        <v/>
      </c>
      <c r="D49" s="9">
        <f>B49*C49</f>
        <v/>
      </c>
      <c r="E49" s="12">
        <f>Derived!$D$15</f>
        <v/>
      </c>
      <c r="F49" s="20">
        <f>G32</f>
        <v/>
      </c>
      <c r="G49" s="12">
        <f>E49*F49</f>
        <v/>
      </c>
      <c r="K49" s="6" t="inlineStr">
        <is>
          <t>Loaded.</t>
        </is>
      </c>
    </row>
    <row r="50">
      <c r="A50" s="5" t="inlineStr">
        <is>
          <t>Retransition before base landing</t>
        </is>
      </c>
      <c r="B50" s="12">
        <f>Derived!$C$27</f>
        <v/>
      </c>
      <c r="C50" s="12">
        <f>D18</f>
        <v/>
      </c>
      <c r="D50" s="9">
        <f>B50*C50</f>
        <v/>
      </c>
      <c r="E50" s="12">
        <f>Derived!$D$27</f>
        <v/>
      </c>
      <c r="F50" s="20">
        <f>F36</f>
        <v/>
      </c>
      <c r="G50" s="12">
        <f>E50*F50</f>
        <v/>
      </c>
      <c r="K50" s="6" t="inlineStr">
        <is>
          <t>Empty.</t>
        </is>
      </c>
    </row>
    <row r="51">
      <c r="A51" s="5" t="inlineStr">
        <is>
          <t>Landing at base</t>
        </is>
      </c>
      <c r="B51" s="12">
        <f>Derived!$C$28</f>
        <v/>
      </c>
      <c r="C51" s="12">
        <f>D19</f>
        <v/>
      </c>
      <c r="D51" s="9">
        <f>B51*C51</f>
        <v/>
      </c>
      <c r="E51" s="12">
        <f>Derived!$D$28</f>
        <v/>
      </c>
      <c r="F51" s="20">
        <f>F37</f>
        <v/>
      </c>
      <c r="G51" s="12">
        <f>E51*F51</f>
        <v/>
      </c>
      <c r="K51" s="6" t="inlineStr">
        <is>
          <t>Empty.</t>
        </is>
      </c>
    </row>
    <row r="52">
      <c r="A52" s="22" t="inlineStr">
        <is>
          <t>Total fixed cost per cycle</t>
        </is>
      </c>
      <c r="B52" s="23">
        <f>SUM(B44:B51)</f>
        <v/>
      </c>
      <c r="D52" s="24">
        <f>SUM(D44:D51)</f>
        <v/>
      </c>
      <c r="E52" s="23">
        <f>SUM(E44:E51)</f>
        <v/>
      </c>
      <c r="G52" s="25">
        <f>SUM(G44:G51)</f>
        <v/>
      </c>
      <c r="K52" s="6" t="inlineStr">
        <is>
          <t>Excludes the cruise-climb / cruise / descent legs, which depend on the map.</t>
        </is>
      </c>
    </row>
    <row r="53">
      <c r="A53" s="5" t="inlineStr">
        <is>
          <t>Share of usable propellant</t>
        </is>
      </c>
      <c r="D53" s="10">
        <f>D52/$B$9</f>
        <v/>
      </c>
      <c r="G53" s="10">
        <f>G52/$B$27</f>
        <v/>
      </c>
      <c r="K53" s="6" t="inlineStr">
        <is>
          <t>Fixed overhead of one sortie cycle relative to a full charge / full usable tank.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  <col width="46" customWidth="1" min="4" max="4"/>
  </cols>
  <sheetData>
    <row r="1">
      <c r="A1" s="1" t="inlineStr">
        <is>
          <t>How each aircraft behaves in the simulation</t>
        </is>
      </c>
    </row>
    <row r="2">
      <c r="A2" s="2" t="inlineStr">
        <is>
          <t>Based on examples/wildfire/firefighter_model (suppression_tactics.py, agents.py, model.py, tactic_pieces/) and src/sosid/model/abm (trajectory.py, propulsion.py, special_agents.py) at commit 4d7a69c plus the working tree of 2026-09-20.</t>
        </is>
      </c>
    </row>
    <row r="4">
      <c r="A4" s="3" t="inlineStr">
        <is>
          <t>Topic</t>
        </is>
      </c>
      <c r="B4" s="3" t="inlineStr">
        <is>
          <t>eVTOL (example_aircraft_1)</t>
        </is>
      </c>
      <c r="C4" s="3" t="inlineStr">
        <is>
          <t>Seaplane (example_seaplane_1)</t>
        </is>
      </c>
      <c r="D4" s="3" t="inlineStr">
        <is>
          <t>Where in the code</t>
        </is>
      </c>
    </row>
    <row r="5" ht="86.75" customHeight="1">
      <c r="A5" s="26" t="inlineStr">
        <is>
          <t>Base compatibility</t>
        </is>
      </c>
      <c r="B5" s="6" t="inlineStr">
        <is>
          <t>Type 'vertipad'. Scenario airports declare no takeoff_landing_types, so they accept every type. The five eVTOLs start at base 1, whose coordinates come straight from the JSON (33.94, -118.42, next to LAX).</t>
        </is>
      </c>
      <c r="C5" s="6" t="inlineStr">
        <is>
          <t>Type 'water'. Same default: any base accepts it. The five seaplanes start at base 0, which the loader replaces with the OSM airport nearest the first ignition centre (deploy_osm_airport_locations + k_nearest_airports = 1), so the JSON's placeholder coordinates for base 0 are never used.</t>
        </is>
      </c>
      <c r="D5" s="27" t="inlineStr">
        <is>
          <t>special_agents.py BaseAirTrafficManager.is_compatible_with; simulation.py AirportInput</t>
        </is>
      </c>
    </row>
    <row r="6" ht="132.5" customHeight="1">
      <c r="A6" s="26" t="inlineStr">
        <is>
          <t>Departure from base</t>
        </is>
      </c>
      <c r="B6" s="6" t="inlineStr">
        <is>
          <t>Holds response_time, queues for clearance (one departure per takeoff_interval per base), then climbs vertically 15.24 m at 0.508 m/s (30 s, no ground motion) at takeoff power, then holds 45.9 s TRANSITION at transition power, then starts the cruise-climb toward the chosen firefront. Since commit 305db82 the takeoff target is field elevation + takeoff_altitude; before that it climbed to the stale inbound trajectory's start altitude and could burn ~70% of the battery.</t>
        </is>
      </c>
      <c r="C6" s="6" t="inlineStr">
        <is>
          <t>Same queue. Takeoff is a ground-roll climb: 23 m/s ground speed, 3.81 m/s climb, 457.2 m in 120 s covering 2.76 km, at takeoff_fc. transition_duration is 0 so the transition hold completes on the same step.</t>
        </is>
      </c>
      <c r="D6" s="27" t="inlineStr">
        <is>
          <t>suppression_tactics.py await_takeoff_clearance, trigger_takeoff_from_base, initiate_takeoff, takeoff, transition_segment</t>
        </is>
      </c>
    </row>
    <row r="7" ht="82.5" customHeight="1">
      <c r="A7" s="26" t="inlineStr">
        <is>
          <t>Climb and cruise</t>
        </is>
      </c>
      <c r="B7" s="6" t="inlineStr">
        <is>
          <t>Cruise-climb at 3.556 m/s and 51.3 m/s ground speed to 457.2 m, then cruise at 90 m/s. Reaching cruise altitude needs a leg of about 12 km; shorter legs are a triangular climb/descent.</t>
        </is>
      </c>
      <c r="C7" s="6" t="inlineStr">
        <is>
          <t>Cruise-climb at 6.96 m/s and 100 m/s to 3000 m, cruise at 100 m/s. Reaching cruise altitude needs a leg of about 79 km, so on Palisades it almost never cruises level and spends most of each leg in CRUISE_CLIMB (where its fuel flow is extrapolated, see Propulsion sheet).</t>
        </is>
      </c>
      <c r="D7" s="27" t="inlineStr">
        <is>
          <t>trajectory.py generate_straight_trajectory</t>
        </is>
      </c>
    </row>
    <row r="8" ht="48.75" customHeight="1">
      <c r="A8" s="26" t="inlineStr">
        <is>
          <t>Attack</t>
        </is>
      </c>
      <c r="B8" s="6" t="inlineStr">
        <is>
          <t>Descends to 50 m AGL over the firefront and releases the whole 360 kg as an elliptical patch of about 21 m x 23 m (4 x 5 cells at 5 m).</t>
        </is>
      </c>
      <c r="C8" s="6" t="inlineStr">
        <is>
          <t>Descends to 50 m AGL and releases 1300 kg as a patch of about 75 m x 23 m (15 x 5 cells at 5 m): 3.6x the area per drop.</t>
        </is>
      </c>
      <c r="D8" s="27" t="inlineStr">
        <is>
          <t>agents.py suppression_patch; tactic_pieces/suppress.py DirectSuppress</t>
        </is>
      </c>
    </row>
    <row r="9" ht="112.25" customHeight="1">
      <c r="A9" s="26" t="inlineStr">
        <is>
          <t>Choosing where to refill</t>
        </is>
      </c>
      <c r="B9" s="6" t="inlineStr">
        <is>
          <t>After the drop it compares the propellant for a round trip to the nearest feasible water body against a round trip to the nearest base and picks the cheaper. With a 6 m x 6 m scoop rectangle nearly every OSM water body is feasible (41 on Palisades with water set 2), so it usually scoops. Then check_energy verifies attack leg + a loaded bail-out leg to base; otherwise it returns to base.</t>
        </is>
      </c>
      <c r="C9" s="6" t="inlineStr">
        <is>
          <t>Same comparison, but its 200 m x 18 m rectangle fits inside very few bodies (1 on Palisades, 19 on Pyrenees), so it often has to fly back to base for water. Same check_energy test.</t>
        </is>
      </c>
      <c r="D9" s="27" t="inlineStr">
        <is>
          <t>suppression_tactics.py select_suppressant_source, check_energy; model.py evaluate_water_source_feasibility</t>
        </is>
      </c>
    </row>
    <row r="10" ht="113.5" customHeight="1">
      <c r="A10" s="26" t="inlineStr">
        <is>
          <t>Scooping at water</t>
        </is>
      </c>
      <c r="B10" s="6" t="inlineStr">
        <is>
          <t>Before the descent it holds 45.9 s in RETRANSITION (billed at retransition power), descends along the cruise-descent slope to 15 m AGL, the landing task completes immediately, then it loiters 30 s at loiter power and is refilled. It then 'takes off' 0.24 m to 15.24 m and holds another 45.9 s transition before climbing away. The energy estimate for a water trip includes the retransition hold.</t>
        </is>
      </c>
      <c r="C10" s="6" t="inlineStr">
        <is>
          <t>No retransition (0 s). Descends to 15 m AGL, loiters 30 s at loiter_fc, refills, then flies a takeoff climb from 15 m to 457 m at takeoff_fc (about 116 s, 2.7 km ground track) before the cruise-climb. This post-scoop climb is not booked by the water-trip estimate.</t>
        </is>
      </c>
      <c r="D10" s="27" t="inlineStr">
        <is>
          <t>suppression_tactics.py retransition_before_resupply, land_to_resupply, resupply_payload, finish_resupply; agents.py estimate_propellant_for_journey</t>
        </is>
      </c>
    </row>
    <row r="11" ht="74.75" customHeight="1">
      <c r="A11" s="26" t="inlineStr">
        <is>
          <t>Return and turnaround at base</t>
        </is>
      </c>
      <c r="B11" s="6" t="inlineStr">
        <is>
          <t>Flies to the nearest base, holds 45.9 s RETRANSITION, descends vertically 15.24 m in 30 s at landing power, then sits in ENERGIZE until the battery swap completes: a flat 600 s. Payload is refilled instantly. Then it re-queues for takeoff.</t>
        </is>
      </c>
      <c r="C11" s="6" t="inlineStr">
        <is>
          <t>Flies to base, no retransition, lands over 120 s / 2.76 km at landing_fc, then refuels at 15.14 kg/s: about 65 s from an empty usable tank. Payload refilled instantly, re-queues for takeoff.</t>
        </is>
      </c>
      <c r="D11" s="27" t="inlineStr">
        <is>
          <t>suppression_tactics.py return_to_base, land_to_base, resupply, refuel; propulsion.py _refill_propellant</t>
        </is>
      </c>
    </row>
    <row r="12" ht="142.5" customHeight="1">
      <c r="A12" s="26" t="inlineStr">
        <is>
          <t>Energy guards</t>
        </is>
      </c>
      <c r="B12" s="6" t="inlineStr">
        <is>
          <t>Electric + vertipad + retransition &gt; 0 turns on four eVTOL-only guards: (1) every step outside takeoff/landing/return tasks it checks it can still reach the nearest base and diverts if not; (2) before chasing a firefront it checks propellant for the chase plus a return (EvtolFollowFirefrontTrackPOI, re-applied when the PPO policy swaps track_poi); (3) water-trip estimates add the retransition hold; (4) when the base is chosen as the cheaper 'water stop' it does a full swap rather than a payload-only stop.</t>
        </is>
      </c>
      <c r="C12" s="6" t="inlineStr">
        <is>
          <t>None of the four. Only the post-drop check_energy test applies. This is deliberate: applying the base-resupply rule fleet-wide changed seaplane results on Pyrenees, and the seaplane carries enough fuel margin not to need it.</t>
        </is>
      </c>
      <c r="D12" s="27" t="inlineStr">
        <is>
          <t>agents.py _divert_evtol_to_base_if_return_energy_is_low, has_propellant_for_firefront_and_return; suppression_tactics.py track_poi setter, initiate_resupply</t>
        </is>
      </c>
    </row>
    <row r="13" ht="108" customHeight="1">
      <c r="A13" s="26" t="inlineStr">
        <is>
          <t>Propellant model</t>
        </is>
      </c>
      <c r="B13" s="6" t="inlineStr">
        <is>
          <t>Battery energy in kJ; aircraft mass never changes with charge. Power per state is interpolated linearly between the 1628 kg and 2128 kg table points; operating mass (1628-1988 kg) lies inside the table. Usable 459,192 kJ (127.6 kWh) gives roughly 19-28 min of flight depending on state.</t>
        </is>
      </c>
      <c r="C13" s="6" t="inlineStr">
        <is>
          <t>Fuel in kg burned through an exact exponential-in-time solution; mass falls as fuel burns. Fuel-flow tables are keyed at 3690-3897 kg while the aircraft operates at 5196-6496 kg, so every mass-dependent state is extrapolated: cruise by 8-16%, cruise-climb by 10-18x. Usable fuel 987 kg gives about 7 h in cruise but only 17-32 min in cruise-climb at the extrapolated rate.</t>
        </is>
      </c>
      <c r="D13" s="27" t="inlineStr">
        <is>
          <t>propulsion.py BatteryElectricPropulsion, ConventionalPropulsion, _create_exact_consumption_function</t>
        </is>
      </c>
    </row>
    <row r="14" ht="61" customHeight="1">
      <c r="A14" s="26" t="inlineStr">
        <is>
          <t>Depletion behaviour</t>
        </is>
      </c>
      <c r="B14" s="6" t="inlineStr">
        <is>
          <t>If usable + reserve ever drops below zero the sim raises ValueError('Agent ran out of electric propellant') and prints an EVTOL_PROPELLANT_DEPLETION diagnostic with the sortie history.</t>
        </is>
      </c>
      <c r="C14" s="6" t="inlineStr">
        <is>
          <t>Same ValueError for fuel, without the diagnostic dump.</t>
        </is>
      </c>
      <c r="D14" s="27" t="inlineStr">
        <is>
          <t>propulsion.py _validate_propellant; agents.py _log_propellant_depletion</t>
        </is>
      </c>
    </row>
    <row r="15" ht="49" customHeight="1">
      <c r="A15" s="26" t="inlineStr">
        <is>
          <t>Unused config fields</t>
        </is>
      </c>
      <c r="B15" s="6" t="inlineStr">
        <is>
          <t>icon (GUI only), autonomous, taxi_out/taxi_in durations, loiter_speed, charging_power (swap enabled), hover_power (state never entered).</t>
        </is>
      </c>
      <c r="C15" s="6" t="inlineStr">
        <is>
          <t>icon, autonomous, taxi durations, loiter_speed, transition/retransition fuel flows (0 s holds), hover_fc.</t>
        </is>
      </c>
      <c r="D15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2026-09-20T22:08:13Z</dcterms:created>
  <dcterms:modified xsi:type="dcterms:W3CDTF">2026-09-20T22:08:13Z</dcterms:modified>
</cp:coreProperties>
</file>